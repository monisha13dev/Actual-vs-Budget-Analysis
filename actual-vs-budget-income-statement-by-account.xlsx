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shoyhanna/Documents/YouTube video Excel files/"/>
    </mc:Choice>
  </mc:AlternateContent>
  <xr:revisionPtr revIDLastSave="0" documentId="13_ncr:1_{D4F525C9-4D09-5B48-BE82-C0845710C4DB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Actual P&amp;L" sheetId="7" r:id="rId1"/>
    <sheet name="Answer Key" sheetId="4" r:id="rId2"/>
    <sheet name="Budget P&amp;L" sheetId="5" r:id="rId3"/>
    <sheet name="Software Budget" sheetId="6" r:id="rId4"/>
    <sheet name="Profit and Loss" sheetId="1" state="hidden" r:id="rId5"/>
    <sheet name="Headcount" sheetId="2" r:id="rId6"/>
    <sheet name="Sales by Customer Summary " sheetId="3" r:id="rId7"/>
  </sheets>
  <definedNames>
    <definedName name="_xlnm._FilterDatabase" localSheetId="3" hidden="1">'Software Budget'!$B$5:$B$16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7" l="1"/>
  <c r="F58" i="7"/>
  <c r="F57" i="7"/>
  <c r="F56" i="7"/>
  <c r="F55" i="7"/>
  <c r="F59" i="7" s="1"/>
  <c r="F52" i="7"/>
  <c r="F53" i="7" s="1"/>
  <c r="F51" i="7"/>
  <c r="F49" i="7"/>
  <c r="F48" i="7"/>
  <c r="F45" i="7"/>
  <c r="F44" i="7"/>
  <c r="F46" i="7" s="1"/>
  <c r="F42" i="7"/>
  <c r="F41" i="7"/>
  <c r="F40" i="7"/>
  <c r="F37" i="7"/>
  <c r="F36" i="7"/>
  <c r="F35" i="7"/>
  <c r="F34" i="7"/>
  <c r="F38" i="7" s="1"/>
  <c r="F33" i="7"/>
  <c r="F32" i="7"/>
  <c r="F31" i="7"/>
  <c r="F30" i="7"/>
  <c r="F29" i="7"/>
  <c r="F28" i="7"/>
  <c r="F25" i="7"/>
  <c r="F24" i="7"/>
  <c r="F23" i="7"/>
  <c r="F22" i="7"/>
  <c r="F21" i="7"/>
  <c r="F20" i="7"/>
  <c r="F19" i="7"/>
  <c r="F18" i="7"/>
  <c r="F17" i="7"/>
  <c r="F16" i="7"/>
  <c r="F12" i="7"/>
  <c r="F11" i="7"/>
  <c r="F13" i="7" s="1"/>
  <c r="F8" i="7"/>
  <c r="C59" i="7"/>
  <c r="D58" i="7"/>
  <c r="B58" i="7"/>
  <c r="D57" i="7"/>
  <c r="B57" i="7"/>
  <c r="D56" i="7"/>
  <c r="B56" i="7"/>
  <c r="D55" i="7"/>
  <c r="D59" i="7" s="1"/>
  <c r="B55" i="7"/>
  <c r="B59" i="7" s="1"/>
  <c r="C53" i="7"/>
  <c r="D52" i="7"/>
  <c r="B52" i="7"/>
  <c r="D51" i="7"/>
  <c r="D53" i="7" s="1"/>
  <c r="B51" i="7"/>
  <c r="D49" i="7"/>
  <c r="C49" i="7"/>
  <c r="B49" i="7"/>
  <c r="C46" i="7"/>
  <c r="D45" i="7"/>
  <c r="B45" i="7"/>
  <c r="B46" i="7" s="1"/>
  <c r="D44" i="7"/>
  <c r="D46" i="7" s="1"/>
  <c r="C42" i="7"/>
  <c r="D41" i="7"/>
  <c r="B41" i="7"/>
  <c r="D40" i="7"/>
  <c r="D42" i="7" s="1"/>
  <c r="B40" i="7"/>
  <c r="D37" i="7"/>
  <c r="B37" i="7"/>
  <c r="D36" i="7"/>
  <c r="B36" i="7"/>
  <c r="D35" i="7"/>
  <c r="B35" i="7"/>
  <c r="D34" i="7"/>
  <c r="B34" i="7"/>
  <c r="D33" i="7"/>
  <c r="B33" i="7"/>
  <c r="D32" i="7"/>
  <c r="B32" i="7"/>
  <c r="C38" i="7"/>
  <c r="C60" i="7" s="1"/>
  <c r="D30" i="7"/>
  <c r="B30" i="7"/>
  <c r="D29" i="7"/>
  <c r="B29" i="7"/>
  <c r="D28" i="7"/>
  <c r="D38" i="7" s="1"/>
  <c r="D60" i="7" s="1"/>
  <c r="B28" i="7"/>
  <c r="B38" i="7" s="1"/>
  <c r="C25" i="7"/>
  <c r="C24" i="7"/>
  <c r="C23" i="7"/>
  <c r="D22" i="7"/>
  <c r="B22" i="7"/>
  <c r="D21" i="7"/>
  <c r="B21" i="7"/>
  <c r="D20" i="7"/>
  <c r="B20" i="7"/>
  <c r="D19" i="7"/>
  <c r="B19" i="7"/>
  <c r="D18" i="7"/>
  <c r="B18" i="7"/>
  <c r="D17" i="7"/>
  <c r="B17" i="7"/>
  <c r="D16" i="7"/>
  <c r="D24" i="7" s="1"/>
  <c r="B16" i="7"/>
  <c r="B23" i="7" s="1"/>
  <c r="C13" i="7"/>
  <c r="D12" i="7"/>
  <c r="D13" i="7" s="1"/>
  <c r="D25" i="7" s="1"/>
  <c r="B12" i="7"/>
  <c r="D11" i="7"/>
  <c r="B11" i="7"/>
  <c r="B13" i="7" s="1"/>
  <c r="D8" i="7"/>
  <c r="C8" i="7"/>
  <c r="B8" i="7"/>
  <c r="D7" i="7"/>
  <c r="C7" i="7"/>
  <c r="H11" i="4"/>
  <c r="C19" i="6"/>
  <c r="D5" i="6"/>
  <c r="E5" i="6" s="1"/>
  <c r="F5" i="6" s="1"/>
  <c r="G5" i="6" s="1"/>
  <c r="H5" i="6" s="1"/>
  <c r="I5" i="6" s="1"/>
  <c r="J5" i="6" s="1"/>
  <c r="K5" i="6" s="1"/>
  <c r="L5" i="6" s="1"/>
  <c r="M5" i="6" s="1"/>
  <c r="N5" i="6" s="1"/>
  <c r="D19" i="6"/>
  <c r="E19" i="6"/>
  <c r="F19" i="6"/>
  <c r="G19" i="6"/>
  <c r="H19" i="6"/>
  <c r="I19" i="6"/>
  <c r="J19" i="6"/>
  <c r="K19" i="6"/>
  <c r="L19" i="6"/>
  <c r="M19" i="6"/>
  <c r="N19" i="6"/>
  <c r="I5" i="3"/>
  <c r="J5" i="3" s="1"/>
  <c r="C5" i="3"/>
  <c r="D5" i="3" s="1"/>
  <c r="D44" i="4"/>
  <c r="I42" i="4"/>
  <c r="H42" i="4"/>
  <c r="I58" i="4"/>
  <c r="I57" i="4"/>
  <c r="I56" i="4"/>
  <c r="I55" i="4"/>
  <c r="I52" i="4"/>
  <c r="I51" i="4"/>
  <c r="I45" i="4"/>
  <c r="I41" i="4"/>
  <c r="I40" i="4"/>
  <c r="I37" i="4"/>
  <c r="I36" i="4"/>
  <c r="I35" i="4"/>
  <c r="I34" i="4"/>
  <c r="I33" i="4"/>
  <c r="I32" i="4"/>
  <c r="I31" i="4"/>
  <c r="I30" i="4"/>
  <c r="I29" i="4"/>
  <c r="I28" i="4"/>
  <c r="I22" i="4"/>
  <c r="I21" i="4"/>
  <c r="I20" i="4"/>
  <c r="I19" i="4"/>
  <c r="I18" i="4"/>
  <c r="I17" i="4"/>
  <c r="H13" i="4"/>
  <c r="I13" i="4" s="1"/>
  <c r="I12" i="4"/>
  <c r="I11" i="4"/>
  <c r="H59" i="4"/>
  <c r="C45" i="5"/>
  <c r="G45" i="4" s="1"/>
  <c r="H45" i="4" s="1"/>
  <c r="D45" i="5"/>
  <c r="B45" i="5"/>
  <c r="B41" i="5"/>
  <c r="C41" i="5"/>
  <c r="D41" i="5"/>
  <c r="G41" i="4" s="1"/>
  <c r="H41" i="4" s="1"/>
  <c r="C40" i="5"/>
  <c r="D40" i="5"/>
  <c r="B40" i="5"/>
  <c r="H58" i="4"/>
  <c r="H57" i="4"/>
  <c r="H56" i="4"/>
  <c r="H55" i="4"/>
  <c r="H52" i="4"/>
  <c r="H51" i="4"/>
  <c r="H38" i="4"/>
  <c r="I38" i="4" s="1"/>
  <c r="G38" i="4"/>
  <c r="H29" i="4"/>
  <c r="H30" i="4"/>
  <c r="H31" i="4"/>
  <c r="H32" i="4"/>
  <c r="H33" i="4"/>
  <c r="H34" i="4"/>
  <c r="H35" i="4"/>
  <c r="H36" i="4"/>
  <c r="H37" i="4"/>
  <c r="H28" i="4"/>
  <c r="H17" i="4"/>
  <c r="H18" i="4"/>
  <c r="H19" i="4"/>
  <c r="H20" i="4"/>
  <c r="H21" i="4"/>
  <c r="H22" i="4"/>
  <c r="H12" i="4"/>
  <c r="G59" i="4"/>
  <c r="F59" i="4"/>
  <c r="F58" i="4"/>
  <c r="F57" i="4"/>
  <c r="F56" i="4"/>
  <c r="F55" i="4"/>
  <c r="G53" i="4"/>
  <c r="F53" i="4"/>
  <c r="G58" i="4"/>
  <c r="G57" i="4"/>
  <c r="G56" i="4"/>
  <c r="G55" i="4"/>
  <c r="G52" i="4"/>
  <c r="G51" i="4"/>
  <c r="G48" i="4"/>
  <c r="G49" i="4" s="1"/>
  <c r="G40" i="4"/>
  <c r="H40" i="4" s="1"/>
  <c r="B29" i="5"/>
  <c r="C29" i="5"/>
  <c r="D29" i="5"/>
  <c r="B30" i="5"/>
  <c r="G30" i="4" s="1"/>
  <c r="C30" i="5"/>
  <c r="D30" i="5"/>
  <c r="B31" i="5"/>
  <c r="G31" i="4" s="1"/>
  <c r="C31" i="5"/>
  <c r="D31" i="5"/>
  <c r="B32" i="5"/>
  <c r="G32" i="4" s="1"/>
  <c r="C32" i="5"/>
  <c r="D32" i="5"/>
  <c r="B33" i="5"/>
  <c r="C33" i="5"/>
  <c r="D33" i="5"/>
  <c r="B34" i="5"/>
  <c r="C34" i="5"/>
  <c r="D34" i="5"/>
  <c r="B35" i="5"/>
  <c r="C35" i="5"/>
  <c r="D35" i="5"/>
  <c r="B36" i="5"/>
  <c r="G36" i="4" s="1"/>
  <c r="C36" i="5"/>
  <c r="D36" i="5"/>
  <c r="B37" i="5"/>
  <c r="C37" i="5"/>
  <c r="D37" i="5"/>
  <c r="C28" i="5"/>
  <c r="D28" i="5"/>
  <c r="B28" i="5"/>
  <c r="F38" i="4"/>
  <c r="G37" i="4"/>
  <c r="G35" i="4"/>
  <c r="G34" i="4"/>
  <c r="G33" i="4"/>
  <c r="G29" i="4"/>
  <c r="G28" i="4"/>
  <c r="B18" i="5"/>
  <c r="C18" i="5"/>
  <c r="D18" i="5"/>
  <c r="B19" i="5"/>
  <c r="G19" i="4" s="1"/>
  <c r="C19" i="5"/>
  <c r="D19" i="5"/>
  <c r="B20" i="5"/>
  <c r="C20" i="5"/>
  <c r="N20" i="5" s="1"/>
  <c r="D20" i="5"/>
  <c r="B21" i="5"/>
  <c r="N21" i="5" s="1"/>
  <c r="C21" i="5"/>
  <c r="D21" i="5"/>
  <c r="B22" i="5"/>
  <c r="C22" i="5"/>
  <c r="D22" i="5"/>
  <c r="C17" i="5"/>
  <c r="D17" i="5"/>
  <c r="B17" i="5"/>
  <c r="G16" i="4"/>
  <c r="G22" i="4"/>
  <c r="G21" i="4"/>
  <c r="G20" i="4"/>
  <c r="G18" i="4"/>
  <c r="G17" i="4"/>
  <c r="G13" i="4"/>
  <c r="F13" i="4"/>
  <c r="G12" i="4"/>
  <c r="B12" i="5"/>
  <c r="C12" i="5"/>
  <c r="D12" i="5"/>
  <c r="C11" i="5"/>
  <c r="D11" i="5"/>
  <c r="B11" i="5"/>
  <c r="G11" i="4"/>
  <c r="G8" i="4"/>
  <c r="H8" i="4" s="1"/>
  <c r="I8" i="4" s="1"/>
  <c r="N30" i="5"/>
  <c r="N17" i="5"/>
  <c r="M23" i="5"/>
  <c r="M24" i="5" s="1"/>
  <c r="E8" i="5"/>
  <c r="F8" i="5" s="1"/>
  <c r="G8" i="5" s="1"/>
  <c r="H8" i="5" s="1"/>
  <c r="I8" i="5" s="1"/>
  <c r="J8" i="5" s="1"/>
  <c r="K8" i="5" s="1"/>
  <c r="L8" i="5" s="1"/>
  <c r="M8" i="5" s="1"/>
  <c r="N8" i="5" s="1"/>
  <c r="E42" i="5"/>
  <c r="F42" i="5"/>
  <c r="G42" i="5"/>
  <c r="H42" i="5"/>
  <c r="I42" i="5"/>
  <c r="J42" i="5"/>
  <c r="K42" i="5"/>
  <c r="L42" i="5"/>
  <c r="M42" i="5"/>
  <c r="N58" i="5"/>
  <c r="N57" i="5"/>
  <c r="N56" i="5"/>
  <c r="N55" i="5"/>
  <c r="N52" i="5"/>
  <c r="N51" i="5"/>
  <c r="N53" i="5" s="1"/>
  <c r="N45" i="5"/>
  <c r="N41" i="5"/>
  <c r="N40" i="5"/>
  <c r="N42" i="5" s="1"/>
  <c r="N22" i="5"/>
  <c r="N19" i="5"/>
  <c r="N18" i="5"/>
  <c r="N59" i="5"/>
  <c r="E59" i="5"/>
  <c r="F59" i="5"/>
  <c r="G59" i="5"/>
  <c r="H59" i="5"/>
  <c r="I59" i="5"/>
  <c r="J59" i="5"/>
  <c r="K59" i="5"/>
  <c r="L59" i="5"/>
  <c r="M59" i="5"/>
  <c r="D55" i="4"/>
  <c r="B55" i="4"/>
  <c r="E53" i="5"/>
  <c r="F53" i="5"/>
  <c r="G53" i="5"/>
  <c r="H53" i="5"/>
  <c r="I53" i="5"/>
  <c r="J53" i="5"/>
  <c r="K53" i="5"/>
  <c r="L53" i="5"/>
  <c r="M53" i="5"/>
  <c r="E48" i="5"/>
  <c r="F48" i="5" s="1"/>
  <c r="G48" i="5" s="1"/>
  <c r="H48" i="5" s="1"/>
  <c r="I48" i="5" s="1"/>
  <c r="J48" i="5" s="1"/>
  <c r="K48" i="5" s="1"/>
  <c r="L48" i="5" s="1"/>
  <c r="M48" i="5" s="1"/>
  <c r="M49" i="5" s="1"/>
  <c r="E46" i="5"/>
  <c r="F46" i="5"/>
  <c r="G46" i="5"/>
  <c r="H46" i="5"/>
  <c r="I46" i="5"/>
  <c r="J46" i="5"/>
  <c r="K46" i="5"/>
  <c r="L46" i="5"/>
  <c r="M46" i="5"/>
  <c r="E23" i="5"/>
  <c r="E24" i="5" s="1"/>
  <c r="F23" i="5"/>
  <c r="F24" i="5" s="1"/>
  <c r="G23" i="5"/>
  <c r="G24" i="5" s="1"/>
  <c r="H23" i="5"/>
  <c r="H24" i="5" s="1"/>
  <c r="I23" i="5"/>
  <c r="I24" i="5" s="1"/>
  <c r="J23" i="5"/>
  <c r="J24" i="5" s="1"/>
  <c r="K23" i="5"/>
  <c r="K24" i="5" s="1"/>
  <c r="E13" i="5"/>
  <c r="F13" i="5"/>
  <c r="G13" i="5"/>
  <c r="H13" i="5"/>
  <c r="M7" i="5"/>
  <c r="E7" i="5"/>
  <c r="F7" i="5" s="1"/>
  <c r="G7" i="5" s="1"/>
  <c r="H7" i="5" s="1"/>
  <c r="I7" i="5" s="1"/>
  <c r="J7" i="5" s="1"/>
  <c r="K7" i="5" s="1"/>
  <c r="L7" i="5" s="1"/>
  <c r="F60" i="7" l="1"/>
  <c r="F61" i="7" s="1"/>
  <c r="F62" i="7" s="1"/>
  <c r="G23" i="4"/>
  <c r="G24" i="4" s="1"/>
  <c r="G25" i="4" s="1"/>
  <c r="N16" i="5"/>
  <c r="N23" i="5" s="1"/>
  <c r="N24" i="5" s="1"/>
  <c r="D61" i="7"/>
  <c r="D62" i="7" s="1"/>
  <c r="B24" i="7"/>
  <c r="B25" i="7"/>
  <c r="C61" i="7"/>
  <c r="C62" i="7" s="1"/>
  <c r="B42" i="7"/>
  <c r="B53" i="7"/>
  <c r="I59" i="4"/>
  <c r="K49" i="5"/>
  <c r="G49" i="5"/>
  <c r="N48" i="5"/>
  <c r="N49" i="5" s="1"/>
  <c r="J49" i="5"/>
  <c r="I49" i="5"/>
  <c r="H49" i="5"/>
  <c r="F49" i="5"/>
  <c r="L49" i="5"/>
  <c r="E49" i="5"/>
  <c r="G42" i="4"/>
  <c r="E25" i="5"/>
  <c r="I13" i="5"/>
  <c r="N12" i="5"/>
  <c r="J13" i="5"/>
  <c r="H25" i="5"/>
  <c r="F25" i="5"/>
  <c r="I25" i="5"/>
  <c r="J25" i="5"/>
  <c r="G25" i="5"/>
  <c r="N36" i="5"/>
  <c r="N37" i="5"/>
  <c r="N35" i="5"/>
  <c r="N32" i="5"/>
  <c r="N34" i="5"/>
  <c r="N29" i="5"/>
  <c r="N31" i="5"/>
  <c r="N28" i="5"/>
  <c r="L23" i="5"/>
  <c r="L24" i="5" s="1"/>
  <c r="E38" i="5"/>
  <c r="H38" i="5"/>
  <c r="H60" i="5" s="1"/>
  <c r="C31" i="4"/>
  <c r="C38" i="4" s="1"/>
  <c r="D31" i="4"/>
  <c r="B31" i="4"/>
  <c r="F31" i="4" s="1"/>
  <c r="F8" i="4"/>
  <c r="F35" i="4"/>
  <c r="F36" i="4"/>
  <c r="F41" i="4"/>
  <c r="F51" i="4"/>
  <c r="C53" i="5"/>
  <c r="B53" i="5"/>
  <c r="D53" i="5"/>
  <c r="C49" i="5"/>
  <c r="D49" i="5"/>
  <c r="B49" i="5"/>
  <c r="C46" i="5"/>
  <c r="B46" i="5"/>
  <c r="C42" i="5"/>
  <c r="D42" i="5"/>
  <c r="B42" i="5"/>
  <c r="C38" i="5"/>
  <c r="D38" i="5"/>
  <c r="B38" i="5"/>
  <c r="C23" i="5"/>
  <c r="C24" i="5" s="1"/>
  <c r="D23" i="5"/>
  <c r="D24" i="5" s="1"/>
  <c r="B23" i="5"/>
  <c r="B24" i="5" s="1"/>
  <c r="C13" i="5"/>
  <c r="B13" i="5"/>
  <c r="D13" i="5"/>
  <c r="C7" i="5"/>
  <c r="D7" i="5" s="1"/>
  <c r="D12" i="4"/>
  <c r="D11" i="4"/>
  <c r="C8" i="4"/>
  <c r="D8" i="4"/>
  <c r="B8" i="4"/>
  <c r="D49" i="4"/>
  <c r="D42" i="4"/>
  <c r="D58" i="4"/>
  <c r="D57" i="4"/>
  <c r="D56" i="4"/>
  <c r="D52" i="4"/>
  <c r="D53" i="4" s="1"/>
  <c r="D51" i="4"/>
  <c r="D45" i="4"/>
  <c r="G44" i="4"/>
  <c r="D41" i="4"/>
  <c r="D40" i="4"/>
  <c r="D29" i="4"/>
  <c r="D38" i="4" s="1"/>
  <c r="D30" i="4"/>
  <c r="D32" i="4"/>
  <c r="D33" i="4"/>
  <c r="F33" i="4" s="1"/>
  <c r="D34" i="4"/>
  <c r="F34" i="4" s="1"/>
  <c r="D35" i="4"/>
  <c r="D36" i="4"/>
  <c r="D37" i="4"/>
  <c r="D28" i="4"/>
  <c r="D17" i="4"/>
  <c r="D18" i="4"/>
  <c r="D19" i="4"/>
  <c r="D20" i="4"/>
  <c r="F20" i="4" s="1"/>
  <c r="D21" i="4"/>
  <c r="F21" i="4" s="1"/>
  <c r="D22" i="4"/>
  <c r="F22" i="4" s="1"/>
  <c r="D23" i="4"/>
  <c r="D24" i="4" s="1"/>
  <c r="D13" i="4"/>
  <c r="B58" i="4"/>
  <c r="B57" i="4"/>
  <c r="B56" i="4"/>
  <c r="B52" i="4"/>
  <c r="B51" i="4"/>
  <c r="B53" i="4" s="1"/>
  <c r="F48" i="4"/>
  <c r="F49" i="4" s="1"/>
  <c r="B49" i="4"/>
  <c r="B45" i="4"/>
  <c r="F45" i="4" s="1"/>
  <c r="B46" i="4"/>
  <c r="B41" i="4"/>
  <c r="B40" i="4"/>
  <c r="F40" i="4" s="1"/>
  <c r="B37" i="4"/>
  <c r="F37" i="4" s="1"/>
  <c r="B36" i="4"/>
  <c r="B35" i="4"/>
  <c r="B34" i="4"/>
  <c r="B33" i="4"/>
  <c r="B32" i="4"/>
  <c r="F32" i="4" s="1"/>
  <c r="B30" i="4"/>
  <c r="F30" i="4" s="1"/>
  <c r="B29" i="4"/>
  <c r="F29" i="4" s="1"/>
  <c r="B28" i="4"/>
  <c r="F28" i="4" s="1"/>
  <c r="B17" i="4"/>
  <c r="F17" i="4" s="1"/>
  <c r="F16" i="4"/>
  <c r="H16" i="4" s="1"/>
  <c r="B12" i="4"/>
  <c r="F12" i="4" s="1"/>
  <c r="B11" i="4"/>
  <c r="F11" i="4" s="1"/>
  <c r="C53" i="4"/>
  <c r="C49" i="4"/>
  <c r="C46" i="4"/>
  <c r="C42" i="4"/>
  <c r="C23" i="4"/>
  <c r="C24" i="4" s="1"/>
  <c r="C13" i="4"/>
  <c r="E10" i="2"/>
  <c r="C10" i="2"/>
  <c r="D13" i="2"/>
  <c r="E13" i="2" s="1"/>
  <c r="D4" i="2"/>
  <c r="E4" i="2" s="1"/>
  <c r="C7" i="4"/>
  <c r="D7" i="4" s="1"/>
  <c r="B22" i="4"/>
  <c r="B21" i="4"/>
  <c r="B20" i="4"/>
  <c r="B19" i="4"/>
  <c r="F19" i="4" s="1"/>
  <c r="B18" i="4"/>
  <c r="F18" i="4" s="1"/>
  <c r="D52" i="1"/>
  <c r="K7" i="3"/>
  <c r="K10" i="3"/>
  <c r="K13" i="3"/>
  <c r="K14" i="3"/>
  <c r="K6" i="3"/>
  <c r="K15" i="3"/>
  <c r="K12" i="3"/>
  <c r="K11" i="3"/>
  <c r="H23" i="4" l="1"/>
  <c r="I16" i="4"/>
  <c r="B60" i="7"/>
  <c r="B61" i="7" s="1"/>
  <c r="B62" i="7" s="1"/>
  <c r="K9" i="3"/>
  <c r="K8" i="3"/>
  <c r="J16" i="3"/>
  <c r="I16" i="3"/>
  <c r="H48" i="4"/>
  <c r="I48" i="4" s="1"/>
  <c r="H49" i="4"/>
  <c r="I49" i="4" s="1"/>
  <c r="G46" i="4"/>
  <c r="G60" i="4" s="1"/>
  <c r="G61" i="4" s="1"/>
  <c r="G62" i="4" s="1"/>
  <c r="D46" i="5"/>
  <c r="N44" i="5"/>
  <c r="N46" i="5" s="1"/>
  <c r="D46" i="4"/>
  <c r="E60" i="5"/>
  <c r="E61" i="5" s="1"/>
  <c r="E62" i="5" s="1"/>
  <c r="F52" i="4"/>
  <c r="C25" i="4"/>
  <c r="F44" i="4"/>
  <c r="H44" i="4" s="1"/>
  <c r="H61" i="5"/>
  <c r="H62" i="5" s="1"/>
  <c r="B25" i="5"/>
  <c r="C25" i="5"/>
  <c r="K13" i="5"/>
  <c r="K25" i="5" s="1"/>
  <c r="G38" i="5"/>
  <c r="G60" i="5" s="1"/>
  <c r="G61" i="5" s="1"/>
  <c r="G62" i="5" s="1"/>
  <c r="F38" i="5"/>
  <c r="F60" i="5" s="1"/>
  <c r="F61" i="5" s="1"/>
  <c r="F62" i="5" s="1"/>
  <c r="I38" i="5"/>
  <c r="I60" i="5" s="1"/>
  <c r="I61" i="5" s="1"/>
  <c r="I62" i="5" s="1"/>
  <c r="N33" i="5"/>
  <c r="N38" i="5" s="1"/>
  <c r="M38" i="5"/>
  <c r="M60" i="5" s="1"/>
  <c r="K38" i="5"/>
  <c r="K60" i="5" s="1"/>
  <c r="K61" i="5" s="1"/>
  <c r="K62" i="5" s="1"/>
  <c r="J38" i="5"/>
  <c r="J60" i="5" s="1"/>
  <c r="J61" i="5" s="1"/>
  <c r="J62" i="5" s="1"/>
  <c r="L38" i="5"/>
  <c r="L60" i="5" s="1"/>
  <c r="D25" i="5"/>
  <c r="D25" i="4"/>
  <c r="B42" i="4"/>
  <c r="F42" i="4" s="1"/>
  <c r="B13" i="4"/>
  <c r="E19" i="2"/>
  <c r="E21" i="2" s="1"/>
  <c r="D10" i="2"/>
  <c r="C19" i="2"/>
  <c r="C21" i="2" s="1"/>
  <c r="D19" i="2"/>
  <c r="B38" i="4"/>
  <c r="B23" i="4"/>
  <c r="F23" i="4" s="1"/>
  <c r="H16" i="3"/>
  <c r="E15" i="3"/>
  <c r="E14" i="3"/>
  <c r="E13" i="3"/>
  <c r="E12" i="3"/>
  <c r="E11" i="3"/>
  <c r="E10" i="3"/>
  <c r="E9" i="3"/>
  <c r="E8" i="3"/>
  <c r="E7" i="3"/>
  <c r="D16" i="3"/>
  <c r="C16" i="3"/>
  <c r="E6" i="3"/>
  <c r="B8" i="1"/>
  <c r="D8" i="1" s="1"/>
  <c r="E8" i="1" s="1"/>
  <c r="H24" i="4" l="1"/>
  <c r="I24" i="4" s="1"/>
  <c r="I23" i="4"/>
  <c r="K16" i="3"/>
  <c r="N60" i="5"/>
  <c r="F46" i="4"/>
  <c r="F60" i="4" s="1"/>
  <c r="B24" i="4"/>
  <c r="M13" i="5"/>
  <c r="M25" i="5" s="1"/>
  <c r="M61" i="5" s="1"/>
  <c r="M62" i="5" s="1"/>
  <c r="N11" i="5"/>
  <c r="N13" i="5" s="1"/>
  <c r="N25" i="5" s="1"/>
  <c r="N61" i="5" s="1"/>
  <c r="N62" i="5" s="1"/>
  <c r="L13" i="5"/>
  <c r="L25" i="5" s="1"/>
  <c r="L61" i="5" s="1"/>
  <c r="L62" i="5" s="1"/>
  <c r="D21" i="2"/>
  <c r="B16" i="3"/>
  <c r="E16" i="3" s="1"/>
  <c r="B58" i="1"/>
  <c r="D58" i="1" s="1"/>
  <c r="E58" i="1" s="1"/>
  <c r="B57" i="1"/>
  <c r="D57" i="1" s="1"/>
  <c r="E57" i="1" s="1"/>
  <c r="B56" i="1"/>
  <c r="D56" i="1" s="1"/>
  <c r="E56" i="1" s="1"/>
  <c r="B55" i="1"/>
  <c r="D55" i="1" s="1"/>
  <c r="E55" i="1" s="1"/>
  <c r="B51" i="1"/>
  <c r="D51" i="1" s="1"/>
  <c r="E51" i="1" s="1"/>
  <c r="B48" i="1"/>
  <c r="D48" i="1" s="1"/>
  <c r="E48" i="1" s="1"/>
  <c r="B45" i="1"/>
  <c r="D45" i="1" s="1"/>
  <c r="E45" i="1" s="1"/>
  <c r="B44" i="1"/>
  <c r="D44" i="1" s="1"/>
  <c r="E44" i="1" s="1"/>
  <c r="B41" i="1"/>
  <c r="D41" i="1" s="1"/>
  <c r="E41" i="1" s="1"/>
  <c r="B40" i="1"/>
  <c r="D40" i="1" s="1"/>
  <c r="E40" i="1" s="1"/>
  <c r="B37" i="1"/>
  <c r="D37" i="1" s="1"/>
  <c r="E37" i="1" s="1"/>
  <c r="B36" i="1"/>
  <c r="D36" i="1" s="1"/>
  <c r="E36" i="1" s="1"/>
  <c r="B35" i="1"/>
  <c r="D35" i="1" s="1"/>
  <c r="E35" i="1" s="1"/>
  <c r="B34" i="1"/>
  <c r="D34" i="1" s="1"/>
  <c r="E34" i="1" s="1"/>
  <c r="B33" i="1"/>
  <c r="D33" i="1" s="1"/>
  <c r="E33" i="1" s="1"/>
  <c r="B32" i="1"/>
  <c r="D32" i="1" s="1"/>
  <c r="E32" i="1" s="1"/>
  <c r="B31" i="1"/>
  <c r="D31" i="1" s="1"/>
  <c r="B30" i="1"/>
  <c r="D30" i="1" s="1"/>
  <c r="E30" i="1" s="1"/>
  <c r="B29" i="1"/>
  <c r="D29" i="1" s="1"/>
  <c r="E29" i="1" s="1"/>
  <c r="B28" i="1"/>
  <c r="D28" i="1" s="1"/>
  <c r="E28" i="1" s="1"/>
  <c r="B22" i="1"/>
  <c r="D22" i="1" s="1"/>
  <c r="E22" i="1" s="1"/>
  <c r="B21" i="1"/>
  <c r="D21" i="1" s="1"/>
  <c r="E21" i="1" s="1"/>
  <c r="B20" i="1"/>
  <c r="D20" i="1" s="1"/>
  <c r="E20" i="1" s="1"/>
  <c r="B19" i="1"/>
  <c r="D19" i="1" s="1"/>
  <c r="E19" i="1" s="1"/>
  <c r="B18" i="1"/>
  <c r="D18" i="1" s="1"/>
  <c r="E18" i="1" s="1"/>
  <c r="B17" i="1"/>
  <c r="D17" i="1" s="1"/>
  <c r="E17" i="1" s="1"/>
  <c r="B16" i="1"/>
  <c r="D16" i="1" s="1"/>
  <c r="B12" i="1"/>
  <c r="D12" i="1" s="1"/>
  <c r="E12" i="1" s="1"/>
  <c r="B11" i="1"/>
  <c r="D11" i="1" s="1"/>
  <c r="E11" i="1" s="1"/>
  <c r="H46" i="4" l="1"/>
  <c r="I44" i="4"/>
  <c r="B25" i="4"/>
  <c r="F25" i="4" s="1"/>
  <c r="H25" i="4" s="1"/>
  <c r="I25" i="4" s="1"/>
  <c r="F24" i="4"/>
  <c r="E16" i="1"/>
  <c r="D23" i="1"/>
  <c r="D24" i="1" s="1"/>
  <c r="B53" i="1"/>
  <c r="B46" i="1"/>
  <c r="B49" i="1"/>
  <c r="B23" i="1"/>
  <c r="B42" i="1"/>
  <c r="B59" i="1"/>
  <c r="B38" i="1"/>
  <c r="B60" i="1" s="1"/>
  <c r="B13" i="1"/>
  <c r="D13" i="1" s="1"/>
  <c r="F61" i="4" l="1"/>
  <c r="I46" i="4"/>
  <c r="H60" i="4"/>
  <c r="I60" i="4" s="1"/>
  <c r="E13" i="1"/>
  <c r="D25" i="1"/>
  <c r="B24" i="1"/>
  <c r="B25" i="1"/>
  <c r="F62" i="4" l="1"/>
  <c r="H62" i="4" s="1"/>
  <c r="I62" i="4" s="1"/>
  <c r="H61" i="4"/>
  <c r="I61" i="4" s="1"/>
  <c r="B61" i="1"/>
  <c r="B62" i="1" s="1"/>
  <c r="C59" i="4"/>
  <c r="C60" i="4" s="1"/>
  <c r="C61" i="4" s="1"/>
  <c r="C62" i="4" s="1"/>
  <c r="B59" i="4"/>
  <c r="B60" i="4" l="1"/>
  <c r="D59" i="4"/>
  <c r="D60" i="4" s="1"/>
  <c r="D61" i="4" s="1"/>
  <c r="D62" i="4" s="1"/>
  <c r="B61" i="4" l="1"/>
  <c r="B62" i="4" l="1"/>
  <c r="D59" i="5"/>
  <c r="D60" i="5" s="1"/>
  <c r="D61" i="5" s="1"/>
  <c r="D62" i="5" s="1"/>
  <c r="C59" i="5"/>
  <c r="C60" i="5" s="1"/>
  <c r="C61" i="5" s="1"/>
  <c r="C62" i="5" s="1"/>
  <c r="B59" i="5"/>
  <c r="B60" i="5" s="1"/>
  <c r="B61" i="5" s="1"/>
  <c r="B62" i="5" s="1"/>
</calcChain>
</file>

<file path=xl/sharedStrings.xml><?xml version="1.0" encoding="utf-8"?>
<sst xmlns="http://schemas.openxmlformats.org/spreadsheetml/2006/main" count="359" uniqueCount="121">
  <si>
    <t>Total</t>
  </si>
  <si>
    <t>Income</t>
  </si>
  <si>
    <t xml:space="preserve">   41001 Sales - Platform Fees</t>
  </si>
  <si>
    <t xml:space="preserve">   41002 Sales - Transaction Fees</t>
  </si>
  <si>
    <t>Total Income</t>
  </si>
  <si>
    <t>Cost of Goods Sold</t>
  </si>
  <si>
    <t xml:space="preserve">   51000 Cost of Sales</t>
  </si>
  <si>
    <t xml:space="preserve">      51001 COS - Server Cost</t>
  </si>
  <si>
    <t xml:space="preserve">      51002 COS - Customer Support Salaries</t>
  </si>
  <si>
    <t xml:space="preserve">      51003 Customer Support Medical Insurance</t>
  </si>
  <si>
    <t xml:space="preserve">      51004 Customer Support 401K Match</t>
  </si>
  <si>
    <t xml:space="preserve">      51005 Customer Support Payroll Tax</t>
  </si>
  <si>
    <t xml:space="preserve">      51006 Customer Support Workers Comp</t>
  </si>
  <si>
    <t xml:space="preserve">      51007 Customer Support Vacation Expense</t>
  </si>
  <si>
    <t xml:space="preserve">   Total 51000 Cost of Sales</t>
  </si>
  <si>
    <t>Total Cost of Goods Sold</t>
  </si>
  <si>
    <t>Gross Profit</t>
  </si>
  <si>
    <t>Expenses</t>
  </si>
  <si>
    <t xml:space="preserve">   61000 Payroll expenses</t>
  </si>
  <si>
    <t xml:space="preserve">      61001 Salaries &amp; Wages</t>
  </si>
  <si>
    <t xml:space="preserve">      61002 Medical Insurance</t>
  </si>
  <si>
    <t xml:space="preserve">      61004 Payroll Taxes</t>
  </si>
  <si>
    <t xml:space="preserve">      61005 Performance Bonus</t>
  </si>
  <si>
    <t xml:space="preserve">      61006 Commissions</t>
  </si>
  <si>
    <t xml:space="preserve">      61007 401K Match</t>
  </si>
  <si>
    <t xml:space="preserve">      61008 Workers Comp Expense</t>
  </si>
  <si>
    <t xml:space="preserve">      61009 Option Expense</t>
  </si>
  <si>
    <t xml:space="preserve">      61010 Vacation Expense</t>
  </si>
  <si>
    <t xml:space="preserve">      61011 Severance Expense</t>
  </si>
  <si>
    <t xml:space="preserve">   Total 61000 Payroll expenses</t>
  </si>
  <si>
    <t xml:space="preserve">   61013 Travel</t>
  </si>
  <si>
    <t xml:space="preserve">      61014 Airfare</t>
  </si>
  <si>
    <t xml:space="preserve">      61015 Hotels</t>
  </si>
  <si>
    <t xml:space="preserve">   Total 61013 Travel</t>
  </si>
  <si>
    <t xml:space="preserve">   61030 Advertising &amp; marketing</t>
  </si>
  <si>
    <t xml:space="preserve">      61031 Search Ads</t>
  </si>
  <si>
    <t xml:space="preserve">      61033 PR Services</t>
  </si>
  <si>
    <t xml:space="preserve">   Total 61030 Advertising &amp; marketing</t>
  </si>
  <si>
    <t xml:space="preserve">   62010 Other Operating Expenses</t>
  </si>
  <si>
    <t xml:space="preserve">      62011 Software &amp; apps</t>
  </si>
  <si>
    <t xml:space="preserve">   Total 62010 Other Operating Expenses</t>
  </si>
  <si>
    <t xml:space="preserve">   63010 Accounting &amp; Legal Fees</t>
  </si>
  <si>
    <t xml:space="preserve">      63011 Audit &amp; Accounting Fees</t>
  </si>
  <si>
    <t xml:space="preserve">      63012 Legal Fees</t>
  </si>
  <si>
    <t xml:space="preserve">   Total 63010 Accounting &amp; Legal Fees</t>
  </si>
  <si>
    <t xml:space="preserve">   64010 Overhead</t>
  </si>
  <si>
    <t xml:space="preserve">      64011 Rent Expense</t>
  </si>
  <si>
    <t xml:space="preserve">      64012 Electricity &amp; Heating</t>
  </si>
  <si>
    <t xml:space="preserve">      64016 Depreciation</t>
  </si>
  <si>
    <t xml:space="preserve">      64018 Bad Debt</t>
  </si>
  <si>
    <t xml:space="preserve">   Total 64010 Overhead</t>
  </si>
  <si>
    <t>Total Expenses</t>
  </si>
  <si>
    <t>Net Operating Income</t>
  </si>
  <si>
    <t>Net Income</t>
  </si>
  <si>
    <t>Friday, Sep 30, 2022 01:19:38 PM GMT-7 - Accrual Basis</t>
  </si>
  <si>
    <t>Spa Booker</t>
  </si>
  <si>
    <t>Profit and Loss</t>
  </si>
  <si>
    <t>Department</t>
  </si>
  <si>
    <t>Customer Support</t>
  </si>
  <si>
    <t>R&amp;D</t>
  </si>
  <si>
    <t>G&amp;A</t>
  </si>
  <si>
    <t>S&amp;M</t>
  </si>
  <si>
    <t>Total Headcount</t>
  </si>
  <si>
    <t>Comment</t>
  </si>
  <si>
    <t>Sales by Customer Summary</t>
  </si>
  <si>
    <t>Account-dracula Inc.</t>
  </si>
  <si>
    <t>Amazin Skins LLC</t>
  </si>
  <si>
    <t>CustomersRus LLC</t>
  </si>
  <si>
    <t>Heavyinvoicer LLC</t>
  </si>
  <si>
    <t>InnoVate LLC</t>
  </si>
  <si>
    <t>Maple Leaf Inc.</t>
  </si>
  <si>
    <t>MountainMan Inc.</t>
  </si>
  <si>
    <t>RDP Inc.</t>
  </si>
  <si>
    <t>TimeCatcher LLC</t>
  </si>
  <si>
    <t>WordSmither</t>
  </si>
  <si>
    <t>TOTAL</t>
  </si>
  <si>
    <t>increase is inline with increase in headcount</t>
  </si>
  <si>
    <t>Comment required for changes over 10%</t>
  </si>
  <si>
    <t>Account</t>
  </si>
  <si>
    <t>March, 2022</t>
  </si>
  <si>
    <t>Actual</t>
  </si>
  <si>
    <t>Budget</t>
  </si>
  <si>
    <t>Headcount Data - Actual</t>
  </si>
  <si>
    <t>Headcount Data - Budget</t>
  </si>
  <si>
    <t>Slight lag vs budget due to less stores signing up than planned</t>
  </si>
  <si>
    <t>Inline with difference in revenue</t>
  </si>
  <si>
    <t>Hiring is ahead of plan (see tab "Headcount")</t>
  </si>
  <si>
    <t>Difference %</t>
  </si>
  <si>
    <t>Unplanned severance</t>
  </si>
  <si>
    <t>Planned for $5,000 but project is delayed to Q2</t>
  </si>
  <si>
    <t>Budget is based off actual cash payment vs. Actual is based on Accrual Accounting</t>
  </si>
  <si>
    <t>Higher % of past due accounts than planned lead to more bad debt accrual</t>
  </si>
  <si>
    <t>Var %</t>
  </si>
  <si>
    <t>Var $</t>
  </si>
  <si>
    <t>Headcount ahead of plan by 12%</t>
  </si>
  <si>
    <t>This file is part of the Controller Academy Course</t>
  </si>
  <si>
    <t>Q1-25</t>
  </si>
  <si>
    <t>Budget P&amp;L</t>
  </si>
  <si>
    <t>The Controller Academy</t>
  </si>
  <si>
    <t>Change</t>
  </si>
  <si>
    <t>Change %</t>
  </si>
  <si>
    <t>January - March, 2025</t>
  </si>
  <si>
    <t>Salesforce</t>
  </si>
  <si>
    <t>HubSpot</t>
  </si>
  <si>
    <t>Stripe</t>
  </si>
  <si>
    <t>Zendesk</t>
  </si>
  <si>
    <t>Slack</t>
  </si>
  <si>
    <t>Jira</t>
  </si>
  <si>
    <t>GitHub</t>
  </si>
  <si>
    <t>Mixpanel</t>
  </si>
  <si>
    <t>ActivTrak</t>
  </si>
  <si>
    <t>Confluence</t>
  </si>
  <si>
    <t>Tool</t>
  </si>
  <si>
    <t>Docusign</t>
  </si>
  <si>
    <t>New Tool - Placeholder</t>
  </si>
  <si>
    <t>Jan - March, 2025</t>
  </si>
  <si>
    <t>Exercise:</t>
  </si>
  <si>
    <t>1. Bring in the budget numbers to this tab, from the Budget tab</t>
  </si>
  <si>
    <t>3. Check the answer key to see you've done everything correctly</t>
  </si>
  <si>
    <t>4. Use the 3 helpful tabs (Software, Headcount, Sales) to understand what caused elements of the business caused the biggest variances from the budget</t>
  </si>
  <si>
    <t>2. Perform a fluctuation analysis both in dollars and 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</si>
</sst>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\ _€"/>
    <numFmt numFmtId="165" formatCode="&quot;$&quot;* #,##0.00\ _€"/>
    <numFmt numFmtId="167" formatCode="[$-409]mmm\-yy;@"/>
    <numFmt numFmtId="172" formatCode="_(&quot;$&quot;* #,##0_);_(&quot;$&quot;* \(#,##0\);_(&quot;$&quot;* &quot;-&quot;??_);_(@_)"/>
    <numFmt numFmtId="183" formatCode="0%;[Red]\-0%"/>
    <numFmt numFmtId="185" formatCode="&quot;$&quot;* #,##0\ _€"/>
  </numFmts>
  <fonts count="20" x14ac:knownFonts="1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i/>
      <sz val="11"/>
      <color indexed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8"/>
      <name val="Arial"/>
      <family val="2"/>
    </font>
    <font>
      <b/>
      <sz val="9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left" wrapText="1"/>
    </xf>
    <xf numFmtId="164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horizontal="right" wrapText="1"/>
    </xf>
    <xf numFmtId="165" fontId="3" fillId="0" borderId="2" xfId="0" applyNumberFormat="1" applyFont="1" applyBorder="1" applyAlignment="1">
      <alignment horizontal="right" wrapText="1"/>
    </xf>
    <xf numFmtId="165" fontId="3" fillId="0" borderId="3" xfId="0" applyNumberFormat="1" applyFont="1" applyBorder="1" applyAlignment="1">
      <alignment horizontal="right" wrapText="1"/>
    </xf>
    <xf numFmtId="0" fontId="2" fillId="0" borderId="0" xfId="0" applyFont="1" applyAlignment="1">
      <alignment horizontal="center" wrapText="1"/>
    </xf>
    <xf numFmtId="9" fontId="0" fillId="0" borderId="0" xfId="1" applyFont="1"/>
    <xf numFmtId="0" fontId="1" fillId="0" borderId="0" xfId="2"/>
    <xf numFmtId="0" fontId="7" fillId="2" borderId="0" xfId="2" applyFont="1" applyFill="1"/>
    <xf numFmtId="14" fontId="7" fillId="2" borderId="0" xfId="2" applyNumberFormat="1" applyFont="1" applyFill="1"/>
    <xf numFmtId="0" fontId="7" fillId="0" borderId="4" xfId="2" applyFont="1" applyBorder="1"/>
    <xf numFmtId="0" fontId="2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horizontal="center" wrapText="1"/>
    </xf>
    <xf numFmtId="0" fontId="12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right" wrapText="1"/>
    </xf>
    <xf numFmtId="164" fontId="13" fillId="0" borderId="0" xfId="0" applyNumberFormat="1" applyFont="1" applyAlignment="1">
      <alignment wrapText="1"/>
    </xf>
    <xf numFmtId="165" fontId="12" fillId="0" borderId="3" xfId="0" applyNumberFormat="1" applyFont="1" applyBorder="1" applyAlignment="1">
      <alignment horizontal="right" wrapText="1"/>
    </xf>
    <xf numFmtId="0" fontId="14" fillId="0" borderId="0" xfId="0" applyFont="1" applyAlignment="1">
      <alignment horizontal="center"/>
    </xf>
    <xf numFmtId="165" fontId="3" fillId="0" borderId="0" xfId="0" applyNumberFormat="1" applyFont="1" applyAlignment="1">
      <alignment horizontal="right" wrapText="1"/>
    </xf>
    <xf numFmtId="38" fontId="0" fillId="0" borderId="0" xfId="0" applyNumberFormat="1"/>
    <xf numFmtId="0" fontId="8" fillId="5" borderId="0" xfId="0" applyFont="1" applyFill="1" applyAlignment="1">
      <alignment wrapText="1"/>
    </xf>
    <xf numFmtId="0" fontId="2" fillId="5" borderId="0" xfId="0" applyFont="1" applyFill="1" applyAlignment="1">
      <alignment horizontal="center" wrapText="1"/>
    </xf>
    <xf numFmtId="0" fontId="7" fillId="0" borderId="0" xfId="2" applyFont="1"/>
    <xf numFmtId="0" fontId="15" fillId="3" borderId="0" xfId="2" applyFont="1" applyFill="1"/>
    <xf numFmtId="0" fontId="15" fillId="5" borderId="0" xfId="2" applyFont="1" applyFill="1"/>
    <xf numFmtId="38" fontId="8" fillId="0" borderId="3" xfId="0" applyNumberFormat="1" applyFont="1" applyBorder="1"/>
    <xf numFmtId="38" fontId="8" fillId="5" borderId="0" xfId="0" applyNumberFormat="1" applyFont="1" applyFill="1"/>
    <xf numFmtId="9" fontId="7" fillId="0" borderId="0" xfId="1" applyFont="1"/>
    <xf numFmtId="9" fontId="8" fillId="5" borderId="0" xfId="1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6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0" fillId="5" borderId="0" xfId="0" applyFill="1"/>
    <xf numFmtId="0" fontId="10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0" fillId="3" borderId="0" xfId="0" applyFill="1"/>
    <xf numFmtId="0" fontId="17" fillId="0" borderId="0" xfId="0" applyFont="1" applyAlignment="1">
      <alignment horizontal="center"/>
    </xf>
    <xf numFmtId="167" fontId="9" fillId="4" borderId="1" xfId="0" applyNumberFormat="1" applyFont="1" applyFill="1" applyBorder="1" applyAlignment="1">
      <alignment horizontal="center" wrapText="1"/>
    </xf>
    <xf numFmtId="44" fontId="0" fillId="0" borderId="0" xfId="4" applyFont="1"/>
    <xf numFmtId="172" fontId="0" fillId="0" borderId="0" xfId="4" applyNumberFormat="1" applyFont="1"/>
    <xf numFmtId="172" fontId="18" fillId="0" borderId="0" xfId="4" applyNumberFormat="1" applyFont="1" applyAlignment="1">
      <alignment horizontal="right" wrapText="1"/>
    </xf>
    <xf numFmtId="172" fontId="17" fillId="0" borderId="0" xfId="4" applyNumberFormat="1" applyFont="1"/>
    <xf numFmtId="172" fontId="2" fillId="0" borderId="2" xfId="4" applyNumberFormat="1" applyFont="1" applyBorder="1" applyAlignment="1">
      <alignment horizontal="right" wrapText="1"/>
    </xf>
    <xf numFmtId="172" fontId="18" fillId="0" borderId="0" xfId="4" applyNumberFormat="1" applyFont="1" applyAlignment="1">
      <alignment wrapText="1"/>
    </xf>
    <xf numFmtId="172" fontId="2" fillId="0" borderId="3" xfId="4" applyNumberFormat="1" applyFont="1" applyBorder="1" applyAlignment="1">
      <alignment horizontal="right" wrapText="1"/>
    </xf>
    <xf numFmtId="44" fontId="0" fillId="0" borderId="0" xfId="0" applyNumberFormat="1"/>
    <xf numFmtId="167" fontId="2" fillId="4" borderId="1" xfId="0" applyNumberFormat="1" applyFont="1" applyFill="1" applyBorder="1" applyAlignment="1">
      <alignment horizontal="center" wrapText="1"/>
    </xf>
    <xf numFmtId="172" fontId="0" fillId="0" borderId="0" xfId="0" applyNumberFormat="1"/>
    <xf numFmtId="1" fontId="2" fillId="5" borderId="0" xfId="0" applyNumberFormat="1" applyFont="1" applyFill="1" applyAlignment="1">
      <alignment horizontal="center" wrapText="1"/>
    </xf>
    <xf numFmtId="0" fontId="17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8" fillId="0" borderId="0" xfId="0" applyFont="1"/>
    <xf numFmtId="1" fontId="2" fillId="4" borderId="1" xfId="0" applyNumberFormat="1" applyFont="1" applyFill="1" applyBorder="1" applyAlignment="1">
      <alignment horizontal="center" wrapText="1"/>
    </xf>
    <xf numFmtId="172" fontId="19" fillId="0" borderId="0" xfId="4" applyNumberFormat="1" applyFont="1"/>
    <xf numFmtId="0" fontId="4" fillId="0" borderId="0" xfId="0" applyFont="1" applyAlignment="1"/>
    <xf numFmtId="0" fontId="0" fillId="0" borderId="0" xfId="0" applyAlignment="1"/>
    <xf numFmtId="0" fontId="19" fillId="0" borderId="0" xfId="0" applyFont="1" applyAlignment="1">
      <alignment horizontal="center"/>
    </xf>
    <xf numFmtId="9" fontId="8" fillId="0" borderId="0" xfId="1" applyFont="1"/>
    <xf numFmtId="183" fontId="8" fillId="0" borderId="0" xfId="1" applyNumberFormat="1" applyFont="1"/>
    <xf numFmtId="43" fontId="0" fillId="0" borderId="0" xfId="3" applyFont="1"/>
    <xf numFmtId="185" fontId="12" fillId="0" borderId="3" xfId="0" applyNumberFormat="1" applyFont="1" applyBorder="1" applyAlignment="1">
      <alignment horizontal="right" wrapText="1"/>
    </xf>
    <xf numFmtId="185" fontId="0" fillId="0" borderId="0" xfId="0" applyNumberFormat="1"/>
    <xf numFmtId="0" fontId="13" fillId="0" borderId="0" xfId="0" applyFont="1" applyAlignment="1"/>
    <xf numFmtId="0" fontId="8" fillId="0" borderId="4" xfId="0" applyFont="1" applyBorder="1"/>
    <xf numFmtId="172" fontId="8" fillId="0" borderId="4" xfId="4" applyNumberFormat="1" applyFont="1" applyBorder="1"/>
    <xf numFmtId="0" fontId="0" fillId="0" borderId="0" xfId="0" applyFill="1"/>
    <xf numFmtId="167" fontId="9" fillId="0" borderId="1" xfId="0" applyNumberFormat="1" applyFont="1" applyFill="1" applyBorder="1" applyAlignment="1">
      <alignment horizontal="center" wrapText="1"/>
    </xf>
    <xf numFmtId="0" fontId="17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172" fontId="17" fillId="0" borderId="0" xfId="4" applyNumberFormat="1" applyFont="1" applyFill="1"/>
    <xf numFmtId="172" fontId="2" fillId="0" borderId="3" xfId="4" applyNumberFormat="1" applyFont="1" applyFill="1" applyBorder="1" applyAlignment="1">
      <alignment horizontal="right" wrapText="1"/>
    </xf>
    <xf numFmtId="172" fontId="18" fillId="0" borderId="0" xfId="4" applyNumberFormat="1" applyFont="1" applyFill="1" applyAlignment="1">
      <alignment horizontal="right" wrapText="1"/>
    </xf>
    <xf numFmtId="0" fontId="16" fillId="7" borderId="0" xfId="0" applyFont="1" applyFill="1" applyAlignment="1">
      <alignment horizontal="center"/>
    </xf>
    <xf numFmtId="0" fontId="8" fillId="3" borderId="0" xfId="0" applyFont="1" applyFill="1"/>
    <xf numFmtId="0" fontId="19" fillId="3" borderId="0" xfId="0" applyFont="1" applyFill="1"/>
    <xf numFmtId="0" fontId="17" fillId="3" borderId="0" xfId="0" applyFont="1" applyFill="1"/>
  </cellXfs>
  <cellStyles count="5">
    <cellStyle name="Comma" xfId="3" builtinId="3"/>
    <cellStyle name="Currency" xfId="4" builtinId="4"/>
    <cellStyle name="Normal" xfId="0" builtinId="0"/>
    <cellStyle name="Normal 2" xfId="2" xr:uid="{6355F73B-1DD9-9941-9321-8FD64BCB994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05D9-E4AF-F94D-B550-A2B163C614E3}">
  <dimension ref="A1:K66"/>
  <sheetViews>
    <sheetView tabSelected="1" zoomScale="172"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G10" sqref="G10"/>
    </sheetView>
  </sheetViews>
  <sheetFormatPr baseColWidth="10" defaultColWidth="8.83203125" defaultRowHeight="15" outlineLevelCol="1" x14ac:dyDescent="0.2"/>
  <cols>
    <col min="1" max="1" width="33.33203125" customWidth="1"/>
    <col min="2" max="2" width="10" customWidth="1"/>
    <col min="3" max="3" width="10.33203125" bestFit="1" customWidth="1"/>
    <col min="4" max="4" width="9.83203125" bestFit="1" customWidth="1"/>
    <col min="5" max="5" width="2.5" style="72" customWidth="1"/>
    <col min="6" max="6" width="11.1640625" style="58" customWidth="1" outlineLevel="1"/>
    <col min="7" max="8" width="10.6640625" customWidth="1" outlineLevel="1" collapsed="1"/>
    <col min="9" max="9" width="8.83203125" style="58" outlineLevel="1"/>
    <col min="10" max="10" width="34.5" style="72" customWidth="1"/>
    <col min="11" max="11" width="8.83203125" style="72"/>
  </cols>
  <sheetData>
    <row r="1" spans="1:11" x14ac:dyDescent="0.2">
      <c r="F1" s="81" t="s">
        <v>116</v>
      </c>
      <c r="G1" s="32"/>
      <c r="H1" s="32"/>
      <c r="I1" s="80"/>
      <c r="J1" s="32"/>
    </row>
    <row r="2" spans="1:11" x14ac:dyDescent="0.2">
      <c r="A2" s="79" t="s">
        <v>98</v>
      </c>
      <c r="B2" s="79"/>
      <c r="F2" s="82" t="s">
        <v>117</v>
      </c>
      <c r="G2" s="32"/>
      <c r="H2" s="32"/>
      <c r="I2" s="80"/>
      <c r="J2" s="32"/>
    </row>
    <row r="3" spans="1:11" ht="18" x14ac:dyDescent="0.2">
      <c r="A3" s="35" t="s">
        <v>55</v>
      </c>
      <c r="B3" s="34"/>
      <c r="F3" s="82" t="s">
        <v>120</v>
      </c>
      <c r="G3" s="32"/>
      <c r="H3" s="32"/>
      <c r="I3" s="80"/>
      <c r="J3" s="32"/>
    </row>
    <row r="4" spans="1:11" ht="18" x14ac:dyDescent="0.2">
      <c r="A4" s="35" t="s">
        <v>56</v>
      </c>
      <c r="B4" s="34"/>
      <c r="F4" s="82" t="s">
        <v>118</v>
      </c>
      <c r="G4" s="32"/>
      <c r="H4" s="32"/>
      <c r="I4" s="80"/>
      <c r="J4" s="32"/>
    </row>
    <row r="5" spans="1:11" x14ac:dyDescent="0.2">
      <c r="A5" s="36" t="s">
        <v>115</v>
      </c>
      <c r="B5" s="34"/>
      <c r="F5" s="82" t="s">
        <v>119</v>
      </c>
      <c r="G5" s="32"/>
      <c r="H5" s="32"/>
      <c r="I5" s="80"/>
      <c r="J5" s="32"/>
    </row>
    <row r="6" spans="1:11" x14ac:dyDescent="0.2">
      <c r="B6" s="43" t="s">
        <v>80</v>
      </c>
      <c r="C6" s="43" t="s">
        <v>80</v>
      </c>
      <c r="D6" s="43" t="s">
        <v>80</v>
      </c>
      <c r="E6" s="74"/>
      <c r="F6" s="63" t="s">
        <v>80</v>
      </c>
      <c r="G6" s="43" t="s">
        <v>81</v>
      </c>
      <c r="H6" s="43"/>
    </row>
    <row r="7" spans="1:11" ht="16" x14ac:dyDescent="0.2">
      <c r="A7" s="14" t="s">
        <v>78</v>
      </c>
      <c r="B7" s="44">
        <v>45688</v>
      </c>
      <c r="C7" s="44">
        <f>EOMONTH(B7,1)</f>
        <v>45716</v>
      </c>
      <c r="D7" s="44">
        <f t="shared" ref="D7" si="0">EOMONTH(C7,1)</f>
        <v>45747</v>
      </c>
      <c r="E7" s="73"/>
      <c r="F7" s="53" t="s">
        <v>96</v>
      </c>
      <c r="G7" s="44" t="s">
        <v>96</v>
      </c>
      <c r="H7" s="44" t="s">
        <v>99</v>
      </c>
      <c r="I7" s="53" t="s">
        <v>100</v>
      </c>
      <c r="J7" s="73"/>
      <c r="K7" s="73"/>
    </row>
    <row r="8" spans="1:11" ht="16" x14ac:dyDescent="0.2">
      <c r="A8" s="23" t="s">
        <v>62</v>
      </c>
      <c r="B8" s="24">
        <f>Headcount!C10</f>
        <v>130</v>
      </c>
      <c r="C8" s="24">
        <f>Headcount!D10</f>
        <v>160</v>
      </c>
      <c r="D8" s="24">
        <f>Headcount!E10</f>
        <v>190</v>
      </c>
      <c r="E8" s="75"/>
      <c r="F8" s="24">
        <f>D8</f>
        <v>190</v>
      </c>
      <c r="G8" s="24"/>
      <c r="H8" s="24"/>
      <c r="I8" s="65"/>
    </row>
    <row r="9" spans="1:11" x14ac:dyDescent="0.2">
      <c r="A9" s="1"/>
      <c r="B9" s="7"/>
      <c r="I9" s="64"/>
    </row>
    <row r="10" spans="1:11" x14ac:dyDescent="0.2">
      <c r="A10" s="2" t="s">
        <v>1</v>
      </c>
      <c r="B10" s="3"/>
      <c r="I10" s="64"/>
    </row>
    <row r="11" spans="1:11" x14ac:dyDescent="0.2">
      <c r="A11" s="2" t="s">
        <v>2</v>
      </c>
      <c r="B11" s="47">
        <f>C11*0.9</f>
        <v>1099800</v>
      </c>
      <c r="C11" s="48">
        <v>1222000</v>
      </c>
      <c r="D11" s="48">
        <f>C11*1.3</f>
        <v>1588600</v>
      </c>
      <c r="E11" s="76"/>
      <c r="F11" s="60">
        <f>SUM(B11:D11)</f>
        <v>3910400</v>
      </c>
      <c r="G11" s="60"/>
      <c r="H11" s="60"/>
      <c r="I11" s="65"/>
    </row>
    <row r="12" spans="1:11" x14ac:dyDescent="0.2">
      <c r="A12" s="2" t="s">
        <v>3</v>
      </c>
      <c r="B12" s="47">
        <f>C12*0.9</f>
        <v>853200</v>
      </c>
      <c r="C12" s="48">
        <v>948000</v>
      </c>
      <c r="D12" s="48">
        <f>C12*1.3</f>
        <v>1232400</v>
      </c>
      <c r="E12" s="76"/>
      <c r="F12" s="60">
        <f>SUM(B12:D12)</f>
        <v>3033600</v>
      </c>
      <c r="G12" s="60"/>
      <c r="H12" s="60"/>
      <c r="I12" s="65"/>
    </row>
    <row r="13" spans="1:11" x14ac:dyDescent="0.2">
      <c r="A13" s="2" t="s">
        <v>4</v>
      </c>
      <c r="B13" s="49">
        <f>(B11)+(B12)</f>
        <v>1953000</v>
      </c>
      <c r="C13" s="49">
        <f>(C11)+(C12)</f>
        <v>2170000</v>
      </c>
      <c r="D13" s="49">
        <f>(D11)+(D12)</f>
        <v>2821000</v>
      </c>
      <c r="E13" s="77"/>
      <c r="F13" s="49">
        <f t="shared" ref="F13:H13" si="1">(F11)+(F12)</f>
        <v>6944000</v>
      </c>
      <c r="G13" s="49"/>
      <c r="H13" s="49"/>
      <c r="I13" s="65"/>
    </row>
    <row r="14" spans="1:11" x14ac:dyDescent="0.2">
      <c r="A14" s="2" t="s">
        <v>5</v>
      </c>
      <c r="B14" s="50"/>
      <c r="C14" s="48"/>
      <c r="I14" s="64"/>
    </row>
    <row r="15" spans="1:11" x14ac:dyDescent="0.2">
      <c r="A15" s="2" t="s">
        <v>6</v>
      </c>
      <c r="B15" s="50"/>
      <c r="C15" s="48"/>
      <c r="I15" s="64"/>
    </row>
    <row r="16" spans="1:11" x14ac:dyDescent="0.2">
      <c r="A16" s="2" t="s">
        <v>7</v>
      </c>
      <c r="B16" s="47">
        <f>C16*0.9</f>
        <v>343350</v>
      </c>
      <c r="C16" s="48">
        <v>381500</v>
      </c>
      <c r="D16" s="48">
        <f>C16*1.05</f>
        <v>400575</v>
      </c>
      <c r="E16" s="76"/>
      <c r="F16" s="60">
        <f>SUM(B16:D16)</f>
        <v>1125425</v>
      </c>
      <c r="G16" s="60"/>
      <c r="H16" s="60"/>
      <c r="I16" s="65"/>
    </row>
    <row r="17" spans="1:9" x14ac:dyDescent="0.2">
      <c r="A17" s="2" t="s">
        <v>8</v>
      </c>
      <c r="B17" s="47">
        <f>C17*0.9</f>
        <v>837000</v>
      </c>
      <c r="C17" s="48">
        <v>930000</v>
      </c>
      <c r="D17" s="48">
        <f t="shared" ref="D17:D22" si="2">C17*1.05</f>
        <v>976500</v>
      </c>
      <c r="E17" s="76"/>
      <c r="F17" s="60">
        <f>SUM(B17:D17)</f>
        <v>2743500</v>
      </c>
      <c r="G17" s="60"/>
      <c r="H17" s="60"/>
      <c r="I17" s="65"/>
    </row>
    <row r="18" spans="1:9" x14ac:dyDescent="0.2">
      <c r="A18" s="2" t="s">
        <v>9</v>
      </c>
      <c r="B18" s="47">
        <f>11484.42</f>
        <v>11484.42</v>
      </c>
      <c r="C18" s="48">
        <v>114844.2</v>
      </c>
      <c r="D18" s="48">
        <f t="shared" si="2"/>
        <v>120586.41</v>
      </c>
      <c r="E18" s="76"/>
      <c r="F18" s="60">
        <f>SUM(B18:D18)</f>
        <v>246915.03</v>
      </c>
      <c r="G18" s="60"/>
      <c r="H18" s="60"/>
      <c r="I18" s="65"/>
    </row>
    <row r="19" spans="1:9" x14ac:dyDescent="0.2">
      <c r="A19" s="2" t="s">
        <v>10</v>
      </c>
      <c r="B19" s="47">
        <f>1395</f>
        <v>1395</v>
      </c>
      <c r="C19" s="48">
        <v>13950</v>
      </c>
      <c r="D19" s="48">
        <f t="shared" si="2"/>
        <v>14647.5</v>
      </c>
      <c r="E19" s="76"/>
      <c r="F19" s="60">
        <f>SUM(B19:D19)</f>
        <v>29992.5</v>
      </c>
      <c r="G19" s="60"/>
      <c r="H19" s="60"/>
      <c r="I19" s="65"/>
    </row>
    <row r="20" spans="1:9" x14ac:dyDescent="0.2">
      <c r="A20" s="2" t="s">
        <v>11</v>
      </c>
      <c r="B20" s="47">
        <f>7114.5</f>
        <v>7114.5</v>
      </c>
      <c r="C20" s="48">
        <v>71145</v>
      </c>
      <c r="D20" s="48">
        <f t="shared" si="2"/>
        <v>74702.25</v>
      </c>
      <c r="E20" s="76"/>
      <c r="F20" s="60">
        <f>SUM(B20:D20)</f>
        <v>152961.75</v>
      </c>
      <c r="G20" s="60"/>
      <c r="H20" s="60"/>
      <c r="I20" s="65"/>
    </row>
    <row r="21" spans="1:9" x14ac:dyDescent="0.2">
      <c r="A21" s="2" t="s">
        <v>12</v>
      </c>
      <c r="B21" s="47">
        <f>189.06</f>
        <v>189.06</v>
      </c>
      <c r="C21" s="48">
        <v>1890.6</v>
      </c>
      <c r="D21" s="48">
        <f t="shared" si="2"/>
        <v>1985.1299999999999</v>
      </c>
      <c r="E21" s="76"/>
      <c r="F21" s="60">
        <f>SUM(B21:D21)</f>
        <v>4064.79</v>
      </c>
      <c r="G21" s="60"/>
      <c r="H21" s="60"/>
      <c r="I21" s="65"/>
    </row>
    <row r="22" spans="1:9" x14ac:dyDescent="0.2">
      <c r="A22" s="2" t="s">
        <v>13</v>
      </c>
      <c r="B22" s="47">
        <f>894.23</f>
        <v>894.23</v>
      </c>
      <c r="C22" s="48">
        <v>8942.2999999999993</v>
      </c>
      <c r="D22" s="48">
        <f t="shared" si="2"/>
        <v>9389.4149999999991</v>
      </c>
      <c r="E22" s="76"/>
      <c r="F22" s="60">
        <f>SUM(B22:D22)</f>
        <v>19225.945</v>
      </c>
      <c r="G22" s="60"/>
      <c r="H22" s="60"/>
      <c r="I22" s="65"/>
    </row>
    <row r="23" spans="1:9" x14ac:dyDescent="0.2">
      <c r="A23" s="2" t="s">
        <v>14</v>
      </c>
      <c r="B23" s="49">
        <f>(((((((B15)+(B16))+(B17))+(B18))+(B19))+(B20))+(B21))+(B22)</f>
        <v>1201427.21</v>
      </c>
      <c r="C23" s="49">
        <f>(((((((C15)+(C16))+(C17))+(C18))+(C19))+(C20))+(C21))+(C22)</f>
        <v>1522272.1</v>
      </c>
      <c r="D23" s="49">
        <f>(((((((D15)+(D16))+(D17))+(D18))+(D19))+(D20))+(D21))+(D22)</f>
        <v>1598385.7049999998</v>
      </c>
      <c r="E23" s="77"/>
      <c r="F23" s="49">
        <f>SUM(B23:D23)</f>
        <v>4322085.0149999997</v>
      </c>
      <c r="G23" s="49"/>
      <c r="H23" s="49"/>
      <c r="I23" s="65"/>
    </row>
    <row r="24" spans="1:9" x14ac:dyDescent="0.2">
      <c r="A24" s="2" t="s">
        <v>15</v>
      </c>
      <c r="B24" s="49">
        <f>B23</f>
        <v>1201427.21</v>
      </c>
      <c r="C24" s="49">
        <f>C23</f>
        <v>1522272.1</v>
      </c>
      <c r="D24" s="49">
        <f>D23</f>
        <v>1598385.7049999998</v>
      </c>
      <c r="E24" s="77"/>
      <c r="F24" s="49">
        <f>SUM(B24:D24)</f>
        <v>4322085.0149999997</v>
      </c>
      <c r="G24" s="49"/>
      <c r="H24" s="49"/>
      <c r="I24" s="65"/>
    </row>
    <row r="25" spans="1:9" x14ac:dyDescent="0.2">
      <c r="A25" s="2" t="s">
        <v>16</v>
      </c>
      <c r="B25" s="49">
        <f>(B13)-(B24)</f>
        <v>751572.79</v>
      </c>
      <c r="C25" s="49">
        <f>(C13)-(C24)</f>
        <v>647727.89999999991</v>
      </c>
      <c r="D25" s="49">
        <f>(D13)-(D24)</f>
        <v>1222614.2950000002</v>
      </c>
      <c r="E25" s="77"/>
      <c r="F25" s="49">
        <f>SUM(B25:D25)</f>
        <v>2621914.9850000003</v>
      </c>
      <c r="G25" s="49"/>
      <c r="H25" s="49"/>
      <c r="I25" s="65"/>
    </row>
    <row r="26" spans="1:9" x14ac:dyDescent="0.2">
      <c r="A26" s="2" t="s">
        <v>17</v>
      </c>
      <c r="B26" s="50"/>
      <c r="C26" s="48"/>
      <c r="I26" s="64"/>
    </row>
    <row r="27" spans="1:9" x14ac:dyDescent="0.2">
      <c r="A27" s="2" t="s">
        <v>18</v>
      </c>
      <c r="B27" s="50"/>
      <c r="C27" s="48"/>
      <c r="I27" s="64"/>
    </row>
    <row r="28" spans="1:9" x14ac:dyDescent="0.2">
      <c r="A28" s="2" t="s">
        <v>19</v>
      </c>
      <c r="B28" s="47">
        <f t="shared" ref="B28:B37" si="3">C28*0.9</f>
        <v>3693600</v>
      </c>
      <c r="C28" s="48">
        <v>4104000</v>
      </c>
      <c r="D28" s="48">
        <f>C28*1.07</f>
        <v>4391280</v>
      </c>
      <c r="E28" s="76"/>
      <c r="F28" s="60">
        <f>SUM(B28:D28)</f>
        <v>12188880</v>
      </c>
      <c r="G28" s="60"/>
      <c r="H28" s="60"/>
      <c r="I28" s="65"/>
    </row>
    <row r="29" spans="1:9" x14ac:dyDescent="0.2">
      <c r="A29" s="2" t="s">
        <v>20</v>
      </c>
      <c r="B29" s="47">
        <f t="shared" si="3"/>
        <v>447892.74</v>
      </c>
      <c r="C29" s="48">
        <v>497658.6</v>
      </c>
      <c r="D29" s="48">
        <f t="shared" ref="D29:D37" si="4">C29*1.07</f>
        <v>532494.70200000005</v>
      </c>
      <c r="E29" s="76"/>
      <c r="F29" s="60">
        <f>SUM(B29:D29)</f>
        <v>1478046.0419999999</v>
      </c>
      <c r="G29" s="60"/>
      <c r="H29" s="60"/>
      <c r="I29" s="65"/>
    </row>
    <row r="30" spans="1:9" x14ac:dyDescent="0.2">
      <c r="A30" s="2" t="s">
        <v>21</v>
      </c>
      <c r="B30" s="47">
        <f t="shared" si="3"/>
        <v>394923.60000000003</v>
      </c>
      <c r="C30" s="48">
        <v>438804</v>
      </c>
      <c r="D30" s="48">
        <f t="shared" si="4"/>
        <v>469520.28</v>
      </c>
      <c r="E30" s="76"/>
      <c r="F30" s="60">
        <f>SUM(B30:D30)</f>
        <v>1303247.8800000001</v>
      </c>
      <c r="G30" s="60"/>
      <c r="H30" s="60"/>
      <c r="I30" s="65"/>
    </row>
    <row r="31" spans="1:9" x14ac:dyDescent="0.2">
      <c r="A31" s="2" t="s">
        <v>22</v>
      </c>
      <c r="B31" s="47">
        <v>130000</v>
      </c>
      <c r="C31" s="47">
        <v>160000</v>
      </c>
      <c r="D31" s="47">
        <v>190000</v>
      </c>
      <c r="E31" s="78"/>
      <c r="F31" s="60">
        <f>SUM(B31:D31)</f>
        <v>480000</v>
      </c>
      <c r="G31" s="60"/>
      <c r="H31" s="60"/>
      <c r="I31" s="65"/>
    </row>
    <row r="32" spans="1:9" x14ac:dyDescent="0.2">
      <c r="A32" s="2" t="s">
        <v>23</v>
      </c>
      <c r="B32" s="47">
        <f t="shared" si="3"/>
        <v>17001</v>
      </c>
      <c r="C32" s="48">
        <v>18890</v>
      </c>
      <c r="D32" s="48">
        <f t="shared" si="4"/>
        <v>20212.300000000003</v>
      </c>
      <c r="E32" s="76"/>
      <c r="F32" s="60">
        <f>SUM(B32:D32)</f>
        <v>56103.3</v>
      </c>
      <c r="G32" s="60"/>
      <c r="H32" s="60"/>
      <c r="I32" s="65"/>
    </row>
    <row r="33" spans="1:9" x14ac:dyDescent="0.2">
      <c r="A33" s="2" t="s">
        <v>24</v>
      </c>
      <c r="B33" s="47">
        <f t="shared" si="3"/>
        <v>55404</v>
      </c>
      <c r="C33" s="48">
        <v>61560</v>
      </c>
      <c r="D33" s="48">
        <f t="shared" si="4"/>
        <v>65869.2</v>
      </c>
      <c r="E33" s="76"/>
      <c r="F33" s="60">
        <f>SUM(B33:D33)</f>
        <v>182833.2</v>
      </c>
      <c r="G33" s="60"/>
      <c r="H33" s="60"/>
      <c r="I33" s="65"/>
    </row>
    <row r="34" spans="1:9" x14ac:dyDescent="0.2">
      <c r="A34" s="2" t="s">
        <v>25</v>
      </c>
      <c r="B34" s="47">
        <f t="shared" si="3"/>
        <v>7373.7</v>
      </c>
      <c r="C34" s="48">
        <v>8193</v>
      </c>
      <c r="D34" s="48">
        <f t="shared" si="4"/>
        <v>8766.51</v>
      </c>
      <c r="E34" s="76"/>
      <c r="F34" s="60">
        <f>SUM(B34:D34)</f>
        <v>24333.21</v>
      </c>
      <c r="G34" s="60"/>
      <c r="H34" s="60"/>
      <c r="I34" s="65"/>
    </row>
    <row r="35" spans="1:9" x14ac:dyDescent="0.2">
      <c r="A35" s="2" t="s">
        <v>26</v>
      </c>
      <c r="B35" s="47">
        <f t="shared" si="3"/>
        <v>13041</v>
      </c>
      <c r="C35" s="48">
        <v>14490</v>
      </c>
      <c r="D35" s="48">
        <f t="shared" si="4"/>
        <v>15504.300000000001</v>
      </c>
      <c r="E35" s="76"/>
      <c r="F35" s="60">
        <f>SUM(B35:D35)</f>
        <v>43035.3</v>
      </c>
      <c r="G35" s="60"/>
      <c r="H35" s="60"/>
      <c r="I35" s="65"/>
    </row>
    <row r="36" spans="1:9" x14ac:dyDescent="0.2">
      <c r="A36" s="2" t="s">
        <v>27</v>
      </c>
      <c r="B36" s="47">
        <f t="shared" si="3"/>
        <v>35515.440000000002</v>
      </c>
      <c r="C36" s="48">
        <v>39461.599999999999</v>
      </c>
      <c r="D36" s="48">
        <f t="shared" si="4"/>
        <v>42223.912000000004</v>
      </c>
      <c r="E36" s="76"/>
      <c r="F36" s="60">
        <f>SUM(B36:D36)</f>
        <v>117200.95200000002</v>
      </c>
      <c r="G36" s="60"/>
      <c r="H36" s="60"/>
      <c r="I36" s="65"/>
    </row>
    <row r="37" spans="1:9" x14ac:dyDescent="0.2">
      <c r="A37" s="2" t="s">
        <v>28</v>
      </c>
      <c r="B37" s="47">
        <f t="shared" si="3"/>
        <v>180000</v>
      </c>
      <c r="C37" s="48">
        <v>200000</v>
      </c>
      <c r="D37" s="48">
        <f t="shared" si="4"/>
        <v>214000</v>
      </c>
      <c r="E37" s="76"/>
      <c r="F37" s="60">
        <f>SUM(B37:D37)</f>
        <v>594000</v>
      </c>
      <c r="G37" s="60"/>
      <c r="H37" s="60"/>
      <c r="I37" s="65"/>
    </row>
    <row r="38" spans="1:9" x14ac:dyDescent="0.2">
      <c r="A38" s="2" t="s">
        <v>29</v>
      </c>
      <c r="B38" s="49">
        <f>((((((((((B27)+(B28))+(B29))+(B30))+(B31))+(B32))+(B33))+(B34))+(B35))+(B36))+(B37)</f>
        <v>4974751.4800000004</v>
      </c>
      <c r="C38" s="49">
        <f>SUM(C28:C37)</f>
        <v>5543057.1999999993</v>
      </c>
      <c r="D38" s="49">
        <f>SUM(D28:D37)</f>
        <v>5949871.203999999</v>
      </c>
      <c r="E38" s="77"/>
      <c r="F38" s="49">
        <f t="shared" ref="F38" si="5">SUM(F28:F37)</f>
        <v>16467679.884000001</v>
      </c>
      <c r="G38" s="49"/>
      <c r="H38" s="49"/>
      <c r="I38" s="65"/>
    </row>
    <row r="39" spans="1:9" x14ac:dyDescent="0.2">
      <c r="A39" s="2" t="s">
        <v>30</v>
      </c>
      <c r="B39" s="50"/>
      <c r="C39" s="48"/>
      <c r="I39" s="64"/>
    </row>
    <row r="40" spans="1:9" x14ac:dyDescent="0.2">
      <c r="A40" s="2" t="s">
        <v>31</v>
      </c>
      <c r="B40" s="47">
        <f>C40*0.9</f>
        <v>10800</v>
      </c>
      <c r="C40" s="48">
        <v>12000</v>
      </c>
      <c r="D40" s="48">
        <f t="shared" ref="D40:D41" si="6">C40*1.07</f>
        <v>12840</v>
      </c>
      <c r="E40" s="76"/>
      <c r="F40" s="60">
        <f>SUM(B40:D40)</f>
        <v>35640</v>
      </c>
      <c r="G40" s="60"/>
      <c r="H40" s="60"/>
      <c r="I40" s="65"/>
    </row>
    <row r="41" spans="1:9" x14ac:dyDescent="0.2">
      <c r="A41" s="2" t="s">
        <v>32</v>
      </c>
      <c r="B41" s="47">
        <f>C41*0.9</f>
        <v>70200</v>
      </c>
      <c r="C41" s="48">
        <v>78000</v>
      </c>
      <c r="D41" s="48">
        <f t="shared" si="6"/>
        <v>83460</v>
      </c>
      <c r="E41" s="76"/>
      <c r="F41" s="60">
        <f>SUM(B41:D41)</f>
        <v>231660</v>
      </c>
      <c r="G41" s="60"/>
      <c r="H41" s="60"/>
      <c r="I41" s="65"/>
    </row>
    <row r="42" spans="1:9" x14ac:dyDescent="0.2">
      <c r="A42" s="2" t="s">
        <v>33</v>
      </c>
      <c r="B42" s="49">
        <f>((B39)+(B40))+(B41)</f>
        <v>81000</v>
      </c>
      <c r="C42" s="49">
        <f>SUM(C40:C41)</f>
        <v>90000</v>
      </c>
      <c r="D42" s="49">
        <f>SUM(D40:D41)</f>
        <v>96300</v>
      </c>
      <c r="E42" s="77"/>
      <c r="F42" s="49">
        <f>SUM(B42:D42)</f>
        <v>267300</v>
      </c>
      <c r="G42" s="49"/>
      <c r="H42" s="49"/>
      <c r="I42" s="65"/>
    </row>
    <row r="43" spans="1:9" x14ac:dyDescent="0.2">
      <c r="A43" s="2" t="s">
        <v>34</v>
      </c>
      <c r="B43" s="50"/>
      <c r="C43" s="48"/>
      <c r="I43" s="65"/>
    </row>
    <row r="44" spans="1:9" x14ac:dyDescent="0.2">
      <c r="A44" s="2" t="s">
        <v>35</v>
      </c>
      <c r="B44" s="47">
        <v>170000</v>
      </c>
      <c r="C44" s="48">
        <v>180000</v>
      </c>
      <c r="D44" s="48">
        <f t="shared" ref="D44:D45" si="7">C44*1.07</f>
        <v>192600</v>
      </c>
      <c r="E44" s="76"/>
      <c r="F44" s="60">
        <f>SUM(B44:D44)</f>
        <v>542600</v>
      </c>
      <c r="G44" s="60"/>
      <c r="H44" s="60"/>
      <c r="I44" s="65"/>
    </row>
    <row r="45" spans="1:9" x14ac:dyDescent="0.2">
      <c r="A45" s="2" t="s">
        <v>36</v>
      </c>
      <c r="B45" s="47">
        <f>C45*0.9</f>
        <v>9720</v>
      </c>
      <c r="C45" s="48">
        <v>10800</v>
      </c>
      <c r="D45" s="48">
        <f t="shared" si="7"/>
        <v>11556</v>
      </c>
      <c r="E45" s="76"/>
      <c r="F45" s="60">
        <f>SUM(B45:D45)</f>
        <v>32076</v>
      </c>
      <c r="G45" s="60"/>
      <c r="H45" s="60"/>
      <c r="I45" s="65"/>
    </row>
    <row r="46" spans="1:9" x14ac:dyDescent="0.2">
      <c r="A46" s="2" t="s">
        <v>37</v>
      </c>
      <c r="B46" s="49">
        <f>((B43)+(B44))+(B45)</f>
        <v>179720</v>
      </c>
      <c r="C46" s="49">
        <f>SUM(C44:C45)</f>
        <v>190800</v>
      </c>
      <c r="D46" s="49">
        <f>SUM(D44:D45)</f>
        <v>204156</v>
      </c>
      <c r="E46" s="77"/>
      <c r="F46" s="49">
        <f t="shared" ref="F46:H46" si="8">SUM(F44:F45)</f>
        <v>574676</v>
      </c>
      <c r="G46" s="49"/>
      <c r="H46" s="49"/>
      <c r="I46" s="65"/>
    </row>
    <row r="47" spans="1:9" x14ac:dyDescent="0.2">
      <c r="A47" s="2" t="s">
        <v>38</v>
      </c>
      <c r="B47" s="50"/>
      <c r="C47" s="48"/>
      <c r="I47" s="65"/>
    </row>
    <row r="48" spans="1:9" x14ac:dyDescent="0.2">
      <c r="A48" s="2" t="s">
        <v>39</v>
      </c>
      <c r="B48" s="47">
        <v>72000</v>
      </c>
      <c r="C48" s="48">
        <v>73000</v>
      </c>
      <c r="D48" s="48">
        <v>73500</v>
      </c>
      <c r="E48" s="76"/>
      <c r="F48" s="60">
        <f>SUM(B48:D48)</f>
        <v>218500</v>
      </c>
      <c r="G48" s="60"/>
      <c r="H48" s="60"/>
      <c r="I48" s="65"/>
    </row>
    <row r="49" spans="1:9" x14ac:dyDescent="0.2">
      <c r="A49" s="2" t="s">
        <v>40</v>
      </c>
      <c r="B49" s="49">
        <f>(B47)+(B48)</f>
        <v>72000</v>
      </c>
      <c r="C49" s="49">
        <f>SUM(C48)</f>
        <v>73000</v>
      </c>
      <c r="D49" s="49">
        <f>SUM(D48)</f>
        <v>73500</v>
      </c>
      <c r="E49" s="77"/>
      <c r="F49" s="49">
        <f t="shared" ref="F49:H49" si="9">SUM(F48)</f>
        <v>218500</v>
      </c>
      <c r="G49" s="49"/>
      <c r="H49" s="49"/>
      <c r="I49" s="65"/>
    </row>
    <row r="50" spans="1:9" x14ac:dyDescent="0.2">
      <c r="A50" s="2" t="s">
        <v>41</v>
      </c>
      <c r="B50" s="50"/>
      <c r="C50" s="48"/>
      <c r="I50" s="65"/>
    </row>
    <row r="51" spans="1:9" x14ac:dyDescent="0.2">
      <c r="A51" s="2" t="s">
        <v>42</v>
      </c>
      <c r="B51" s="47">
        <f t="shared" ref="B51:B52" si="10">C51*0.9</f>
        <v>90000</v>
      </c>
      <c r="C51" s="48">
        <v>100000</v>
      </c>
      <c r="D51" s="48">
        <f t="shared" ref="D51:D52" si="11">C51*1.07</f>
        <v>107000</v>
      </c>
      <c r="E51" s="76"/>
      <c r="F51" s="60">
        <f>SUM(B51:D51)</f>
        <v>297000</v>
      </c>
      <c r="G51" s="60"/>
      <c r="H51" s="60"/>
      <c r="I51" s="65"/>
    </row>
    <row r="52" spans="1:9" x14ac:dyDescent="0.2">
      <c r="A52" s="2" t="s">
        <v>43</v>
      </c>
      <c r="B52" s="47">
        <f t="shared" si="10"/>
        <v>216000</v>
      </c>
      <c r="C52" s="48">
        <v>240000</v>
      </c>
      <c r="D52" s="48">
        <f t="shared" si="11"/>
        <v>256800.00000000003</v>
      </c>
      <c r="E52" s="76"/>
      <c r="F52" s="60">
        <f>SUM(B52:D52)</f>
        <v>712800</v>
      </c>
      <c r="G52" s="60"/>
      <c r="H52" s="60"/>
      <c r="I52" s="65"/>
    </row>
    <row r="53" spans="1:9" x14ac:dyDescent="0.2">
      <c r="A53" s="2" t="s">
        <v>44</v>
      </c>
      <c r="B53" s="49">
        <f>((B50)+(B51))+(B52)</f>
        <v>306000</v>
      </c>
      <c r="C53" s="49">
        <f>SUM(C51:C52)</f>
        <v>340000</v>
      </c>
      <c r="D53" s="49">
        <f>SUM(D51:D52)</f>
        <v>363800</v>
      </c>
      <c r="E53" s="77"/>
      <c r="F53" s="49">
        <f t="shared" ref="F53:G53" si="12">SUM(F51:F52)</f>
        <v>1009800</v>
      </c>
      <c r="G53" s="49"/>
      <c r="H53" s="49"/>
      <c r="I53" s="65"/>
    </row>
    <row r="54" spans="1:9" x14ac:dyDescent="0.2">
      <c r="A54" s="2" t="s">
        <v>45</v>
      </c>
      <c r="B54" s="50"/>
      <c r="C54" s="48"/>
      <c r="I54" s="65"/>
    </row>
    <row r="55" spans="1:9" x14ac:dyDescent="0.2">
      <c r="A55" s="2" t="s">
        <v>46</v>
      </c>
      <c r="B55" s="47">
        <f>C55</f>
        <v>458330</v>
      </c>
      <c r="C55" s="48">
        <v>458330</v>
      </c>
      <c r="D55" s="48">
        <f>C55</f>
        <v>458330</v>
      </c>
      <c r="E55" s="76"/>
      <c r="F55" s="60">
        <f t="shared" ref="F55:F58" si="13">SUM(B55:D55)</f>
        <v>1374990</v>
      </c>
      <c r="G55" s="60"/>
      <c r="H55" s="60"/>
      <c r="I55" s="65"/>
    </row>
    <row r="56" spans="1:9" x14ac:dyDescent="0.2">
      <c r="A56" s="2" t="s">
        <v>47</v>
      </c>
      <c r="B56" s="47">
        <f t="shared" ref="B56:B58" si="14">C56*0.9</f>
        <v>16200</v>
      </c>
      <c r="C56" s="48">
        <v>18000</v>
      </c>
      <c r="D56" s="48">
        <f t="shared" ref="D56:D58" si="15">C56*1.07</f>
        <v>19260</v>
      </c>
      <c r="E56" s="76"/>
      <c r="F56" s="60">
        <f t="shared" si="13"/>
        <v>53460</v>
      </c>
      <c r="G56" s="60"/>
      <c r="H56" s="60"/>
      <c r="I56" s="65"/>
    </row>
    <row r="57" spans="1:9" x14ac:dyDescent="0.2">
      <c r="A57" s="2" t="s">
        <v>48</v>
      </c>
      <c r="B57" s="47">
        <f t="shared" si="14"/>
        <v>1503</v>
      </c>
      <c r="C57" s="48">
        <v>1670</v>
      </c>
      <c r="D57" s="48">
        <f t="shared" si="15"/>
        <v>1786.9</v>
      </c>
      <c r="E57" s="76"/>
      <c r="F57" s="60">
        <f t="shared" si="13"/>
        <v>4959.8999999999996</v>
      </c>
      <c r="G57" s="60"/>
      <c r="H57" s="60"/>
      <c r="I57" s="65"/>
    </row>
    <row r="58" spans="1:9" x14ac:dyDescent="0.2">
      <c r="A58" s="2" t="s">
        <v>49</v>
      </c>
      <c r="B58" s="47">
        <f t="shared" si="14"/>
        <v>50319.180000000008</v>
      </c>
      <c r="C58" s="48">
        <v>55910.200000000004</v>
      </c>
      <c r="D58" s="48">
        <f t="shared" si="15"/>
        <v>59823.914000000012</v>
      </c>
      <c r="E58" s="76"/>
      <c r="F58" s="60">
        <f t="shared" si="13"/>
        <v>166053.29400000002</v>
      </c>
      <c r="G58" s="60"/>
      <c r="H58" s="60"/>
      <c r="I58" s="65"/>
    </row>
    <row r="59" spans="1:9" x14ac:dyDescent="0.2">
      <c r="A59" s="2" t="s">
        <v>50</v>
      </c>
      <c r="B59" s="49">
        <f>((((B54)+(B55))+(B56))+(B57))+(B58)</f>
        <v>526352.18000000005</v>
      </c>
      <c r="C59" s="49">
        <f>((((C54)+(C55))+(C56))+(C57))+(C58)</f>
        <v>533910.19999999995</v>
      </c>
      <c r="D59" s="49">
        <f>((((D54)+(D55))+(D56))+(D57))+(D58)</f>
        <v>539200.81400000001</v>
      </c>
      <c r="E59" s="77"/>
      <c r="F59" s="49">
        <f>((((F54)+(F55))+(F56))+(F57))+(F58)</f>
        <v>1599463.1939999999</v>
      </c>
      <c r="G59" s="49"/>
      <c r="H59" s="49"/>
      <c r="I59" s="65"/>
    </row>
    <row r="60" spans="1:9" x14ac:dyDescent="0.2">
      <c r="A60" s="2" t="s">
        <v>51</v>
      </c>
      <c r="B60" s="49">
        <f>(((((B38)+(B42))+(B46))+(B49))+(B53))+(B59)</f>
        <v>6139823.6600000001</v>
      </c>
      <c r="C60" s="49">
        <f>(((((C38)+(C42))+(C46))+(C49))+(C53))+(C59)</f>
        <v>6770767.3999999994</v>
      </c>
      <c r="D60" s="49">
        <f>(((((D38)+(D42))+(D46))+(D49))+(D53))+(D59)</f>
        <v>7226828.0179999992</v>
      </c>
      <c r="E60" s="77"/>
      <c r="F60" s="49">
        <f>(((((F38)+(F42))+(F46))+(F49))+(F53))+(F59)</f>
        <v>20137419.078000002</v>
      </c>
      <c r="G60" s="49"/>
      <c r="H60" s="49"/>
      <c r="I60" s="65"/>
    </row>
    <row r="61" spans="1:9" x14ac:dyDescent="0.2">
      <c r="A61" s="2" t="s">
        <v>52</v>
      </c>
      <c r="B61" s="49">
        <f>(B25)-(B60)</f>
        <v>-5388250.8700000001</v>
      </c>
      <c r="C61" s="49">
        <f>(C25)-(C60)</f>
        <v>-6123039.5</v>
      </c>
      <c r="D61" s="49">
        <f>(D25)-(D60)</f>
        <v>-6004213.7229999993</v>
      </c>
      <c r="E61" s="77"/>
      <c r="F61" s="49">
        <f>(F25)-(F60)</f>
        <v>-17515504.093000002</v>
      </c>
      <c r="G61" s="49"/>
      <c r="H61" s="49"/>
      <c r="I61" s="65"/>
    </row>
    <row r="62" spans="1:9" x14ac:dyDescent="0.2">
      <c r="A62" s="2" t="s">
        <v>53</v>
      </c>
      <c r="B62" s="51">
        <f>(B61)+(0)</f>
        <v>-5388250.8700000001</v>
      </c>
      <c r="C62" s="51">
        <f>(C61)+(0)</f>
        <v>-6123039.5</v>
      </c>
      <c r="D62" s="51">
        <f>(D61)+(0)</f>
        <v>-6004213.7229999993</v>
      </c>
      <c r="E62" s="77"/>
      <c r="F62" s="51">
        <f>(F61)+(0)</f>
        <v>-17515504.093000002</v>
      </c>
      <c r="G62" s="51"/>
      <c r="H62" s="51"/>
      <c r="I62" s="65"/>
    </row>
    <row r="63" spans="1:9" x14ac:dyDescent="0.2">
      <c r="A63" s="2"/>
      <c r="B63" s="3"/>
    </row>
    <row r="66" spans="1:2" x14ac:dyDescent="0.2">
      <c r="A66" s="33"/>
      <c r="B66" s="34"/>
    </row>
  </sheetData>
  <mergeCells count="5">
    <mergeCell ref="A2:B2"/>
    <mergeCell ref="A3:B3"/>
    <mergeCell ref="A4:B4"/>
    <mergeCell ref="A5:B5"/>
    <mergeCell ref="A66:B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DD61-6EAB-6945-9404-676584F2CC5C}">
  <dimension ref="A2:K66"/>
  <sheetViews>
    <sheetView zoomScale="172"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A13" sqref="A13"/>
    </sheetView>
  </sheetViews>
  <sheetFormatPr baseColWidth="10" defaultColWidth="8.83203125" defaultRowHeight="15" outlineLevelCol="1" x14ac:dyDescent="0.2"/>
  <cols>
    <col min="1" max="1" width="33.33203125" customWidth="1"/>
    <col min="2" max="2" width="10" customWidth="1"/>
    <col min="3" max="3" width="10.33203125" bestFit="1" customWidth="1"/>
    <col min="4" max="4" width="9.83203125" bestFit="1" customWidth="1"/>
    <col min="5" max="5" width="2.5" customWidth="1"/>
    <col min="6" max="6" width="11.1640625" style="58" customWidth="1" outlineLevel="1"/>
    <col min="7" max="8" width="10.6640625" customWidth="1" outlineLevel="1" collapsed="1"/>
    <col min="9" max="9" width="8.83203125" style="58" customWidth="1" outlineLevel="1"/>
    <col min="10" max="10" width="34.5" customWidth="1"/>
  </cols>
  <sheetData>
    <row r="2" spans="1:11" x14ac:dyDescent="0.2">
      <c r="A2" s="79" t="s">
        <v>98</v>
      </c>
      <c r="B2" s="79"/>
    </row>
    <row r="3" spans="1:11" ht="18" x14ac:dyDescent="0.2">
      <c r="A3" s="35" t="s">
        <v>55</v>
      </c>
      <c r="B3" s="34"/>
    </row>
    <row r="4" spans="1:11" ht="18" x14ac:dyDescent="0.2">
      <c r="A4" s="35" t="s">
        <v>56</v>
      </c>
      <c r="B4" s="34"/>
    </row>
    <row r="5" spans="1:11" x14ac:dyDescent="0.2">
      <c r="A5" s="36" t="s">
        <v>115</v>
      </c>
      <c r="B5" s="34"/>
    </row>
    <row r="6" spans="1:11" x14ac:dyDescent="0.2">
      <c r="B6" s="43" t="s">
        <v>80</v>
      </c>
      <c r="C6" s="43" t="s">
        <v>80</v>
      </c>
      <c r="D6" s="43" t="s">
        <v>80</v>
      </c>
      <c r="E6" s="43"/>
      <c r="F6" s="63" t="s">
        <v>80</v>
      </c>
      <c r="G6" s="43" t="s">
        <v>81</v>
      </c>
      <c r="H6" s="43"/>
    </row>
    <row r="7" spans="1:11" ht="16" x14ac:dyDescent="0.2">
      <c r="A7" s="14" t="s">
        <v>78</v>
      </c>
      <c r="B7" s="44">
        <v>45688</v>
      </c>
      <c r="C7" s="44">
        <f>EOMONTH(B7,1)</f>
        <v>45716</v>
      </c>
      <c r="D7" s="44">
        <f t="shared" ref="D7" si="0">EOMONTH(C7,1)</f>
        <v>45747</v>
      </c>
      <c r="E7" s="44"/>
      <c r="F7" s="53" t="s">
        <v>96</v>
      </c>
      <c r="G7" s="44" t="s">
        <v>96</v>
      </c>
      <c r="H7" s="44" t="s">
        <v>99</v>
      </c>
      <c r="I7" s="53" t="s">
        <v>100</v>
      </c>
      <c r="J7" s="44"/>
      <c r="K7" s="44"/>
    </row>
    <row r="8" spans="1:11" ht="16" x14ac:dyDescent="0.2">
      <c r="A8" s="23" t="s">
        <v>62</v>
      </c>
      <c r="B8" s="24">
        <f>Headcount!C10</f>
        <v>130</v>
      </c>
      <c r="C8" s="24">
        <f>Headcount!D10</f>
        <v>160</v>
      </c>
      <c r="D8" s="24">
        <f>Headcount!E10</f>
        <v>190</v>
      </c>
      <c r="E8" s="24"/>
      <c r="F8" s="24">
        <f>D8</f>
        <v>190</v>
      </c>
      <c r="G8" s="24">
        <f>'Budget P&amp;L'!D8</f>
        <v>180</v>
      </c>
      <c r="H8" s="24">
        <f>G8-F8</f>
        <v>-10</v>
      </c>
      <c r="I8" s="65">
        <f>H8/G8</f>
        <v>-5.5555555555555552E-2</v>
      </c>
    </row>
    <row r="9" spans="1:11" x14ac:dyDescent="0.2">
      <c r="A9" s="1"/>
      <c r="B9" s="7"/>
      <c r="I9" s="64"/>
    </row>
    <row r="10" spans="1:11" x14ac:dyDescent="0.2">
      <c r="A10" s="2" t="s">
        <v>1</v>
      </c>
      <c r="B10" s="3"/>
      <c r="I10" s="64"/>
    </row>
    <row r="11" spans="1:11" x14ac:dyDescent="0.2">
      <c r="A11" s="2" t="s">
        <v>2</v>
      </c>
      <c r="B11" s="47">
        <f>C11*0.9</f>
        <v>1099800</v>
      </c>
      <c r="C11" s="48">
        <v>1222000</v>
      </c>
      <c r="D11" s="48">
        <f>C11*1.3</f>
        <v>1588600</v>
      </c>
      <c r="E11" s="48"/>
      <c r="F11" s="60">
        <f>SUM(B11:D11)</f>
        <v>3910400</v>
      </c>
      <c r="G11" s="60">
        <f>SUM('Budget P&amp;L'!B11:D11)</f>
        <v>3753984</v>
      </c>
      <c r="H11" s="60">
        <f>F11-G11</f>
        <v>156416</v>
      </c>
      <c r="I11" s="65">
        <f>H11/G11</f>
        <v>4.1666666666666664E-2</v>
      </c>
    </row>
    <row r="12" spans="1:11" x14ac:dyDescent="0.2">
      <c r="A12" s="2" t="s">
        <v>3</v>
      </c>
      <c r="B12" s="47">
        <f>C12*0.9</f>
        <v>853200</v>
      </c>
      <c r="C12" s="48">
        <v>948000</v>
      </c>
      <c r="D12" s="48">
        <f>C12*1.3</f>
        <v>1232400</v>
      </c>
      <c r="E12" s="48"/>
      <c r="F12" s="60">
        <f>SUM(B12:D12)</f>
        <v>3033600</v>
      </c>
      <c r="G12" s="60">
        <f>SUM('Budget P&amp;L'!B12:D12)</f>
        <v>2912256</v>
      </c>
      <c r="H12" s="60">
        <f>F12-G12</f>
        <v>121344</v>
      </c>
      <c r="I12" s="65">
        <f>H12/G12</f>
        <v>4.1666666666666664E-2</v>
      </c>
    </row>
    <row r="13" spans="1:11" x14ac:dyDescent="0.2">
      <c r="A13" s="2" t="s">
        <v>4</v>
      </c>
      <c r="B13" s="49">
        <f>(B11)+(B12)</f>
        <v>1953000</v>
      </c>
      <c r="C13" s="49">
        <f>(C11)+(C12)</f>
        <v>2170000</v>
      </c>
      <c r="D13" s="49">
        <f>(D11)+(D12)</f>
        <v>2821000</v>
      </c>
      <c r="E13" s="51"/>
      <c r="F13" s="49">
        <f t="shared" ref="F13:H13" si="1">(F11)+(F12)</f>
        <v>6944000</v>
      </c>
      <c r="G13" s="49">
        <f t="shared" si="1"/>
        <v>6666240</v>
      </c>
      <c r="H13" s="49">
        <f t="shared" si="1"/>
        <v>277760</v>
      </c>
      <c r="I13" s="65">
        <f>H13/G13</f>
        <v>4.1666666666666664E-2</v>
      </c>
    </row>
    <row r="14" spans="1:11" x14ac:dyDescent="0.2">
      <c r="A14" s="2" t="s">
        <v>5</v>
      </c>
      <c r="B14" s="50"/>
      <c r="C14" s="48"/>
      <c r="I14" s="64"/>
    </row>
    <row r="15" spans="1:11" x14ac:dyDescent="0.2">
      <c r="A15" s="2" t="s">
        <v>6</v>
      </c>
      <c r="B15" s="50"/>
      <c r="C15" s="48"/>
      <c r="I15" s="64"/>
    </row>
    <row r="16" spans="1:11" x14ac:dyDescent="0.2">
      <c r="A16" s="2" t="s">
        <v>7</v>
      </c>
      <c r="B16" s="47">
        <v>343350</v>
      </c>
      <c r="C16" s="48">
        <v>381500</v>
      </c>
      <c r="D16" s="48">
        <v>400575</v>
      </c>
      <c r="E16" s="48"/>
      <c r="F16" s="60">
        <f>SUM(B16:D16)</f>
        <v>1125425</v>
      </c>
      <c r="G16" s="60">
        <f>SUM('Budget P&amp;L'!B16:D16)</f>
        <v>1114170.75</v>
      </c>
      <c r="H16" s="60">
        <f>G16-F16</f>
        <v>-11254.25</v>
      </c>
      <c r="I16" s="65">
        <f t="shared" ref="I16:I25" si="2">H16/G16</f>
        <v>-1.0101010101010102E-2</v>
      </c>
    </row>
    <row r="17" spans="1:9" x14ac:dyDescent="0.2">
      <c r="A17" s="2" t="s">
        <v>8</v>
      </c>
      <c r="B17" s="47">
        <f>C17*0.9</f>
        <v>837000</v>
      </c>
      <c r="C17" s="48">
        <v>930000</v>
      </c>
      <c r="D17" s="48">
        <f t="shared" ref="D17:D22" si="3">C17*1.05</f>
        <v>976500</v>
      </c>
      <c r="E17" s="48"/>
      <c r="F17" s="60">
        <f>SUM(B17:D17)</f>
        <v>2743500</v>
      </c>
      <c r="G17" s="60">
        <f>SUM('Budget P&amp;L'!B17:D17)</f>
        <v>2606325</v>
      </c>
      <c r="H17" s="60">
        <f t="shared" ref="H17:H22" si="4">G17-F17</f>
        <v>-137175</v>
      </c>
      <c r="I17" s="65">
        <f t="shared" si="2"/>
        <v>-5.2631578947368418E-2</v>
      </c>
    </row>
    <row r="18" spans="1:9" x14ac:dyDescent="0.2">
      <c r="A18" s="2" t="s">
        <v>9</v>
      </c>
      <c r="B18" s="47">
        <f>11484.42</f>
        <v>11484.42</v>
      </c>
      <c r="C18" s="48">
        <v>114844.2</v>
      </c>
      <c r="D18" s="48">
        <f t="shared" si="3"/>
        <v>120586.41</v>
      </c>
      <c r="E18" s="48"/>
      <c r="F18" s="60">
        <f>SUM(B18:D18)</f>
        <v>246915.03</v>
      </c>
      <c r="G18" s="60">
        <f>SUM('Budget P&amp;L'!B18:D18)</f>
        <v>234569.27849999999</v>
      </c>
      <c r="H18" s="60">
        <f t="shared" si="4"/>
        <v>-12345.751500000013</v>
      </c>
      <c r="I18" s="65">
        <f t="shared" si="2"/>
        <v>-5.2631578947368481E-2</v>
      </c>
    </row>
    <row r="19" spans="1:9" x14ac:dyDescent="0.2">
      <c r="A19" s="2" t="s">
        <v>10</v>
      </c>
      <c r="B19" s="47">
        <f>1395</f>
        <v>1395</v>
      </c>
      <c r="C19" s="48">
        <v>13950</v>
      </c>
      <c r="D19" s="48">
        <f t="shared" si="3"/>
        <v>14647.5</v>
      </c>
      <c r="E19" s="48"/>
      <c r="F19" s="60">
        <f>SUM(B19:D19)</f>
        <v>29992.5</v>
      </c>
      <c r="G19" s="60">
        <f>SUM('Budget P&amp;L'!B19:D19)</f>
        <v>28492.875</v>
      </c>
      <c r="H19" s="60">
        <f t="shared" si="4"/>
        <v>-1499.625</v>
      </c>
      <c r="I19" s="65">
        <f t="shared" si="2"/>
        <v>-5.2631578947368418E-2</v>
      </c>
    </row>
    <row r="20" spans="1:9" x14ac:dyDescent="0.2">
      <c r="A20" s="2" t="s">
        <v>11</v>
      </c>
      <c r="B20" s="47">
        <f>7114.5</f>
        <v>7114.5</v>
      </c>
      <c r="C20" s="48">
        <v>71145</v>
      </c>
      <c r="D20" s="48">
        <f t="shared" si="3"/>
        <v>74702.25</v>
      </c>
      <c r="E20" s="48"/>
      <c r="F20" s="60">
        <f>SUM(B20:D20)</f>
        <v>152961.75</v>
      </c>
      <c r="G20" s="60">
        <f>SUM('Budget P&amp;L'!B20:D20)</f>
        <v>145313.66249999998</v>
      </c>
      <c r="H20" s="60">
        <f t="shared" si="4"/>
        <v>-7648.0875000000233</v>
      </c>
      <c r="I20" s="65">
        <f t="shared" si="2"/>
        <v>-5.2631578947368592E-2</v>
      </c>
    </row>
    <row r="21" spans="1:9" x14ac:dyDescent="0.2">
      <c r="A21" s="2" t="s">
        <v>12</v>
      </c>
      <c r="B21" s="47">
        <f>189.06</f>
        <v>189.06</v>
      </c>
      <c r="C21" s="48">
        <v>1890.6</v>
      </c>
      <c r="D21" s="48">
        <f t="shared" si="3"/>
        <v>1985.1299999999999</v>
      </c>
      <c r="E21" s="48"/>
      <c r="F21" s="60">
        <f>SUM(B21:D21)</f>
        <v>4064.79</v>
      </c>
      <c r="G21" s="60">
        <f>SUM('Budget P&amp;L'!B21:D21)</f>
        <v>3861.5504999999994</v>
      </c>
      <c r="H21" s="60">
        <f t="shared" si="4"/>
        <v>-203.23950000000059</v>
      </c>
      <c r="I21" s="65">
        <f t="shared" si="2"/>
        <v>-5.2631578947368585E-2</v>
      </c>
    </row>
    <row r="22" spans="1:9" x14ac:dyDescent="0.2">
      <c r="A22" s="2" t="s">
        <v>13</v>
      </c>
      <c r="B22" s="47">
        <f>894.23</f>
        <v>894.23</v>
      </c>
      <c r="C22" s="48">
        <v>8942.2999999999993</v>
      </c>
      <c r="D22" s="48">
        <f t="shared" si="3"/>
        <v>9389.4149999999991</v>
      </c>
      <c r="E22" s="48"/>
      <c r="F22" s="60">
        <f>SUM(B22:D22)</f>
        <v>19225.945</v>
      </c>
      <c r="G22" s="60">
        <f>SUM('Budget P&amp;L'!B22:D22)</f>
        <v>18264.647749999996</v>
      </c>
      <c r="H22" s="60">
        <f t="shared" si="4"/>
        <v>-961.29725000000326</v>
      </c>
      <c r="I22" s="65">
        <f t="shared" si="2"/>
        <v>-5.2631578947368612E-2</v>
      </c>
    </row>
    <row r="23" spans="1:9" x14ac:dyDescent="0.2">
      <c r="A23" s="2" t="s">
        <v>14</v>
      </c>
      <c r="B23" s="49">
        <f>(((((((B15)+(B16))+(B17))+(B18))+(B19))+(B20))+(B21))+(B22)</f>
        <v>1201427.21</v>
      </c>
      <c r="C23" s="49">
        <f>(((((((C15)+(C16))+(C17))+(C18))+(C19))+(C20))+(C21))+(C22)</f>
        <v>1522272.1</v>
      </c>
      <c r="D23" s="49">
        <f>(((((((D15)+(D16))+(D17))+(D18))+(D19))+(D20))+(D21))+(D22)</f>
        <v>1598385.7049999998</v>
      </c>
      <c r="E23" s="51"/>
      <c r="F23" s="49">
        <f>SUM(B23:D23)</f>
        <v>4322085.0149999997</v>
      </c>
      <c r="G23" s="49">
        <f>(((((((G15)+(G16))+(G17))+(G18))+(G19))+(G20))+(G21))+(G22)</f>
        <v>4150997.76425</v>
      </c>
      <c r="H23" s="49">
        <f>(((((((H15)+(H16))+(H17))+(H18))+(H19))+(H20))+(H21))+(H22)</f>
        <v>-171087.25075000004</v>
      </c>
      <c r="I23" s="65">
        <f t="shared" si="2"/>
        <v>-4.1215934208269078E-2</v>
      </c>
    </row>
    <row r="24" spans="1:9" x14ac:dyDescent="0.2">
      <c r="A24" s="2" t="s">
        <v>15</v>
      </c>
      <c r="B24" s="49">
        <f>B23</f>
        <v>1201427.21</v>
      </c>
      <c r="C24" s="49">
        <f>C23</f>
        <v>1522272.1</v>
      </c>
      <c r="D24" s="49">
        <f>D23</f>
        <v>1598385.7049999998</v>
      </c>
      <c r="E24" s="51"/>
      <c r="F24" s="49">
        <f>SUM(B24:D24)</f>
        <v>4322085.0149999997</v>
      </c>
      <c r="G24" s="49">
        <f>G23</f>
        <v>4150997.76425</v>
      </c>
      <c r="H24" s="49">
        <f>H23</f>
        <v>-171087.25075000004</v>
      </c>
      <c r="I24" s="65">
        <f t="shared" si="2"/>
        <v>-4.1215934208269078E-2</v>
      </c>
    </row>
    <row r="25" spans="1:9" x14ac:dyDescent="0.2">
      <c r="A25" s="2" t="s">
        <v>16</v>
      </c>
      <c r="B25" s="49">
        <f>(B13)-(B24)</f>
        <v>751572.79</v>
      </c>
      <c r="C25" s="49">
        <f>(C13)-(C24)</f>
        <v>647727.89999999991</v>
      </c>
      <c r="D25" s="49">
        <f>(D13)-(D24)</f>
        <v>1222614.2950000002</v>
      </c>
      <c r="E25" s="51"/>
      <c r="F25" s="49">
        <f>SUM(B25:D25)</f>
        <v>2621914.9850000003</v>
      </c>
      <c r="G25" s="49">
        <f>(G13)-(G24)</f>
        <v>2515242.23575</v>
      </c>
      <c r="H25" s="49">
        <f>F25-G25</f>
        <v>106672.74925000034</v>
      </c>
      <c r="I25" s="65">
        <f t="shared" si="2"/>
        <v>4.2410527198463825E-2</v>
      </c>
    </row>
    <row r="26" spans="1:9" x14ac:dyDescent="0.2">
      <c r="A26" s="2" t="s">
        <v>17</v>
      </c>
      <c r="B26" s="50"/>
      <c r="C26" s="48"/>
      <c r="I26" s="64"/>
    </row>
    <row r="27" spans="1:9" x14ac:dyDescent="0.2">
      <c r="A27" s="2" t="s">
        <v>18</v>
      </c>
      <c r="B27" s="50"/>
      <c r="C27" s="48"/>
      <c r="I27" s="64"/>
    </row>
    <row r="28" spans="1:9" x14ac:dyDescent="0.2">
      <c r="A28" s="2" t="s">
        <v>19</v>
      </c>
      <c r="B28" s="47">
        <f t="shared" ref="B28:B37" si="5">C28*0.9</f>
        <v>3693600</v>
      </c>
      <c r="C28" s="48">
        <v>4104000</v>
      </c>
      <c r="D28" s="48">
        <f>C28*1.07</f>
        <v>4391280</v>
      </c>
      <c r="E28" s="48"/>
      <c r="F28" s="60">
        <f>SUM(B28:D28)</f>
        <v>12188880</v>
      </c>
      <c r="G28" s="60">
        <f>SUM('Budget P&amp;L'!B28:D28)</f>
        <v>11579436</v>
      </c>
      <c r="H28" s="60">
        <f>G28-F28</f>
        <v>-609444</v>
      </c>
      <c r="I28" s="65">
        <f t="shared" ref="I28:I38" si="6">H28/G28</f>
        <v>-5.2631578947368418E-2</v>
      </c>
    </row>
    <row r="29" spans="1:9" x14ac:dyDescent="0.2">
      <c r="A29" s="2" t="s">
        <v>20</v>
      </c>
      <c r="B29" s="47">
        <f t="shared" si="5"/>
        <v>447892.74</v>
      </c>
      <c r="C29" s="48">
        <v>497658.6</v>
      </c>
      <c r="D29" s="48">
        <f t="shared" ref="D29:D37" si="7">C29*1.07</f>
        <v>532494.70200000005</v>
      </c>
      <c r="E29" s="48"/>
      <c r="F29" s="60">
        <f>SUM(B29:D29)</f>
        <v>1478046.0419999999</v>
      </c>
      <c r="G29" s="60">
        <f>SUM('Budget P&amp;L'!B29:D29)</f>
        <v>1404143.7398999999</v>
      </c>
      <c r="H29" s="60">
        <f t="shared" ref="H29:H37" si="8">G29-F29</f>
        <v>-73902.302099999972</v>
      </c>
      <c r="I29" s="65">
        <f t="shared" si="6"/>
        <v>-5.2631578947368404E-2</v>
      </c>
    </row>
    <row r="30" spans="1:9" x14ac:dyDescent="0.2">
      <c r="A30" s="2" t="s">
        <v>21</v>
      </c>
      <c r="B30" s="47">
        <f t="shared" si="5"/>
        <v>394923.60000000003</v>
      </c>
      <c r="C30" s="48">
        <v>438804</v>
      </c>
      <c r="D30" s="48">
        <f t="shared" si="7"/>
        <v>469520.28</v>
      </c>
      <c r="E30" s="48"/>
      <c r="F30" s="60">
        <f>SUM(B30:D30)</f>
        <v>1303247.8800000001</v>
      </c>
      <c r="G30" s="60">
        <f>SUM('Budget P&amp;L'!B30:D30)</f>
        <v>1238085.486</v>
      </c>
      <c r="H30" s="60">
        <f t="shared" si="8"/>
        <v>-65162.394000000088</v>
      </c>
      <c r="I30" s="65">
        <f t="shared" si="6"/>
        <v>-5.2631578947368488E-2</v>
      </c>
    </row>
    <row r="31" spans="1:9" x14ac:dyDescent="0.2">
      <c r="A31" s="2" t="s">
        <v>22</v>
      </c>
      <c r="B31" s="47">
        <f>B8*1000</f>
        <v>130000</v>
      </c>
      <c r="C31" s="47">
        <f t="shared" ref="C31:D31" si="9">C8*1000</f>
        <v>160000</v>
      </c>
      <c r="D31" s="47">
        <f t="shared" si="9"/>
        <v>190000</v>
      </c>
      <c r="E31" s="47"/>
      <c r="F31" s="60">
        <f>SUM(B31:D31)</f>
        <v>480000</v>
      </c>
      <c r="G31" s="60">
        <f>SUM('Budget P&amp;L'!B31:D31)</f>
        <v>456000</v>
      </c>
      <c r="H31" s="60">
        <f t="shared" si="8"/>
        <v>-24000</v>
      </c>
      <c r="I31" s="65">
        <f t="shared" si="6"/>
        <v>-5.2631578947368418E-2</v>
      </c>
    </row>
    <row r="32" spans="1:9" x14ac:dyDescent="0.2">
      <c r="A32" s="2" t="s">
        <v>23</v>
      </c>
      <c r="B32" s="47">
        <f t="shared" si="5"/>
        <v>17001</v>
      </c>
      <c r="C32" s="48">
        <v>18890</v>
      </c>
      <c r="D32" s="48">
        <f t="shared" si="7"/>
        <v>20212.300000000003</v>
      </c>
      <c r="E32" s="48"/>
      <c r="F32" s="60">
        <f>SUM(B32:D32)</f>
        <v>56103.3</v>
      </c>
      <c r="G32" s="60">
        <f>SUM('Budget P&amp;L'!B32:D32)</f>
        <v>53298.134999999995</v>
      </c>
      <c r="H32" s="60">
        <f t="shared" si="8"/>
        <v>-2805.1650000000081</v>
      </c>
      <c r="I32" s="65">
        <f t="shared" si="6"/>
        <v>-5.2631578947368578E-2</v>
      </c>
    </row>
    <row r="33" spans="1:9" x14ac:dyDescent="0.2">
      <c r="A33" s="2" t="s">
        <v>24</v>
      </c>
      <c r="B33" s="47">
        <f t="shared" si="5"/>
        <v>55404</v>
      </c>
      <c r="C33" s="48">
        <v>61560</v>
      </c>
      <c r="D33" s="48">
        <f t="shared" si="7"/>
        <v>65869.2</v>
      </c>
      <c r="E33" s="48"/>
      <c r="F33" s="60">
        <f>SUM(B33:D33)</f>
        <v>182833.2</v>
      </c>
      <c r="G33" s="60">
        <f>SUM('Budget P&amp;L'!B33:D33)</f>
        <v>173691.53999999998</v>
      </c>
      <c r="H33" s="60">
        <f t="shared" si="8"/>
        <v>-9141.6600000000326</v>
      </c>
      <c r="I33" s="65">
        <f t="shared" si="6"/>
        <v>-5.2631578947368612E-2</v>
      </c>
    </row>
    <row r="34" spans="1:9" x14ac:dyDescent="0.2">
      <c r="A34" s="2" t="s">
        <v>25</v>
      </c>
      <c r="B34" s="47">
        <f t="shared" si="5"/>
        <v>7373.7</v>
      </c>
      <c r="C34" s="48">
        <v>8193</v>
      </c>
      <c r="D34" s="48">
        <f t="shared" si="7"/>
        <v>8766.51</v>
      </c>
      <c r="E34" s="48"/>
      <c r="F34" s="60">
        <f>SUM(B34:D34)</f>
        <v>24333.21</v>
      </c>
      <c r="G34" s="60">
        <f>SUM('Budget P&amp;L'!B34:D34)</f>
        <v>23116.549499999997</v>
      </c>
      <c r="H34" s="60">
        <f t="shared" si="8"/>
        <v>-1216.6605000000018</v>
      </c>
      <c r="I34" s="65">
        <f t="shared" si="6"/>
        <v>-5.2631578947368501E-2</v>
      </c>
    </row>
    <row r="35" spans="1:9" x14ac:dyDescent="0.2">
      <c r="A35" s="2" t="s">
        <v>26</v>
      </c>
      <c r="B35" s="47">
        <f t="shared" si="5"/>
        <v>13041</v>
      </c>
      <c r="C35" s="48">
        <v>14490</v>
      </c>
      <c r="D35" s="48">
        <f t="shared" si="7"/>
        <v>15504.300000000001</v>
      </c>
      <c r="E35" s="48"/>
      <c r="F35" s="60">
        <f>SUM(B35:D35)</f>
        <v>43035.3</v>
      </c>
      <c r="G35" s="60">
        <f>SUM('Budget P&amp;L'!B35:D35)</f>
        <v>40883.534999999996</v>
      </c>
      <c r="H35" s="60">
        <f t="shared" si="8"/>
        <v>-2151.7650000000067</v>
      </c>
      <c r="I35" s="65">
        <f t="shared" si="6"/>
        <v>-5.2631578947368592E-2</v>
      </c>
    </row>
    <row r="36" spans="1:9" x14ac:dyDescent="0.2">
      <c r="A36" s="2" t="s">
        <v>27</v>
      </c>
      <c r="B36" s="47">
        <f t="shared" si="5"/>
        <v>35515.440000000002</v>
      </c>
      <c r="C36" s="48">
        <v>39461.599999999999</v>
      </c>
      <c r="D36" s="48">
        <f t="shared" si="7"/>
        <v>42223.912000000004</v>
      </c>
      <c r="E36" s="48"/>
      <c r="F36" s="60">
        <f>SUM(B36:D36)</f>
        <v>117200.95200000002</v>
      </c>
      <c r="G36" s="60">
        <f>SUM('Budget P&amp;L'!B36:D36)</f>
        <v>111340.9044</v>
      </c>
      <c r="H36" s="60">
        <f t="shared" si="8"/>
        <v>-5860.0476000000199</v>
      </c>
      <c r="I36" s="65">
        <f t="shared" si="6"/>
        <v>-5.2631578947368599E-2</v>
      </c>
    </row>
    <row r="37" spans="1:9" x14ac:dyDescent="0.2">
      <c r="A37" s="2" t="s">
        <v>28</v>
      </c>
      <c r="B37" s="47">
        <f t="shared" si="5"/>
        <v>180000</v>
      </c>
      <c r="C37" s="48">
        <v>200000</v>
      </c>
      <c r="D37" s="48">
        <f t="shared" si="7"/>
        <v>214000</v>
      </c>
      <c r="E37" s="48"/>
      <c r="F37" s="60">
        <f>SUM(B37:D37)</f>
        <v>594000</v>
      </c>
      <c r="G37" s="60">
        <f>SUM('Budget P&amp;L'!B37:D37)</f>
        <v>564300</v>
      </c>
      <c r="H37" s="60">
        <f t="shared" si="8"/>
        <v>-29700</v>
      </c>
      <c r="I37" s="65">
        <f t="shared" si="6"/>
        <v>-5.2631578947368418E-2</v>
      </c>
    </row>
    <row r="38" spans="1:9" x14ac:dyDescent="0.2">
      <c r="A38" s="2" t="s">
        <v>29</v>
      </c>
      <c r="B38" s="49">
        <f>((((((((((B27)+(B28))+(B29))+(B30))+(B31))+(B32))+(B33))+(B34))+(B35))+(B36))+(B37)</f>
        <v>4974751.4800000004</v>
      </c>
      <c r="C38" s="49">
        <f>SUM(C28:C37)</f>
        <v>5543057.1999999993</v>
      </c>
      <c r="D38" s="49">
        <f>SUM(D28:D37)</f>
        <v>5949871.203999999</v>
      </c>
      <c r="E38" s="51"/>
      <c r="F38" s="49">
        <f t="shared" ref="F38:G38" si="10">SUM(F28:F37)</f>
        <v>16467679.884000001</v>
      </c>
      <c r="G38" s="49">
        <f>SUM(G28:G37)</f>
        <v>15644295.889799999</v>
      </c>
      <c r="H38" s="49">
        <f>SUM(H28:H37)</f>
        <v>-823383.99420000019</v>
      </c>
      <c r="I38" s="65">
        <f t="shared" si="6"/>
        <v>-5.2631578947368439E-2</v>
      </c>
    </row>
    <row r="39" spans="1:9" x14ac:dyDescent="0.2">
      <c r="A39" s="2" t="s">
        <v>30</v>
      </c>
      <c r="B39" s="50"/>
      <c r="C39" s="48"/>
      <c r="I39" s="64"/>
    </row>
    <row r="40" spans="1:9" x14ac:dyDescent="0.2">
      <c r="A40" s="2" t="s">
        <v>31</v>
      </c>
      <c r="B40" s="47">
        <f>C40*0.9</f>
        <v>10800</v>
      </c>
      <c r="C40" s="48">
        <v>12000</v>
      </c>
      <c r="D40" s="48">
        <f t="shared" ref="D40:D41" si="11">C40*1.07</f>
        <v>12840</v>
      </c>
      <c r="E40" s="48"/>
      <c r="F40" s="60">
        <f>SUM(B40:D40)</f>
        <v>35640</v>
      </c>
      <c r="G40" s="60">
        <f>SUM('Budget P&amp;L'!B40:D40)</f>
        <v>37065.599999999999</v>
      </c>
      <c r="H40" s="60">
        <f t="shared" ref="H40:H41" si="12">G40-F40</f>
        <v>1425.5999999999985</v>
      </c>
      <c r="I40" s="65">
        <f t="shared" ref="I40:I42" si="13">H40/G40</f>
        <v>3.8461538461538422E-2</v>
      </c>
    </row>
    <row r="41" spans="1:9" x14ac:dyDescent="0.2">
      <c r="A41" s="2" t="s">
        <v>32</v>
      </c>
      <c r="B41" s="47">
        <f>C41*0.9</f>
        <v>70200</v>
      </c>
      <c r="C41" s="48">
        <v>78000</v>
      </c>
      <c r="D41" s="48">
        <f t="shared" si="11"/>
        <v>83460</v>
      </c>
      <c r="E41" s="48"/>
      <c r="F41" s="60">
        <f>SUM(B41:D41)</f>
        <v>231660</v>
      </c>
      <c r="G41" s="60">
        <f>SUM('Budget P&amp;L'!B41:D41)</f>
        <v>240926.40000000002</v>
      </c>
      <c r="H41" s="60">
        <f t="shared" si="12"/>
        <v>9266.4000000000233</v>
      </c>
      <c r="I41" s="65">
        <f t="shared" si="13"/>
        <v>3.8461538461538554E-2</v>
      </c>
    </row>
    <row r="42" spans="1:9" x14ac:dyDescent="0.2">
      <c r="A42" s="2" t="s">
        <v>33</v>
      </c>
      <c r="B42" s="49">
        <f>((B39)+(B40))+(B41)</f>
        <v>81000</v>
      </c>
      <c r="C42" s="49">
        <f>SUM(C40:C41)</f>
        <v>90000</v>
      </c>
      <c r="D42" s="49">
        <f>SUM(D40:D41)</f>
        <v>96300</v>
      </c>
      <c r="E42" s="51"/>
      <c r="F42" s="49">
        <f>SUM(B42:D42)</f>
        <v>267300</v>
      </c>
      <c r="G42" s="49">
        <f>SUM(G40:G41)</f>
        <v>277992</v>
      </c>
      <c r="H42" s="49">
        <f>SUM(H40:H41)</f>
        <v>10692.000000000022</v>
      </c>
      <c r="I42" s="65">
        <f t="shared" si="13"/>
        <v>3.846153846153854E-2</v>
      </c>
    </row>
    <row r="43" spans="1:9" x14ac:dyDescent="0.2">
      <c r="A43" s="2" t="s">
        <v>34</v>
      </c>
      <c r="B43" s="50"/>
      <c r="C43" s="48"/>
      <c r="I43" s="65"/>
    </row>
    <row r="44" spans="1:9" x14ac:dyDescent="0.2">
      <c r="A44" s="2" t="s">
        <v>35</v>
      </c>
      <c r="B44" s="47">
        <v>170000</v>
      </c>
      <c r="C44" s="48">
        <v>180000</v>
      </c>
      <c r="D44" s="48">
        <f t="shared" ref="D44:D45" si="14">C44*1.07</f>
        <v>192600</v>
      </c>
      <c r="E44" s="48"/>
      <c r="F44" s="60">
        <f>SUM(B44:D44)</f>
        <v>542600</v>
      </c>
      <c r="G44" s="60">
        <f>SUM('Budget P&amp;L'!B44:D44)</f>
        <v>540000</v>
      </c>
      <c r="H44" s="60">
        <f t="shared" ref="H44:H45" si="15">G44-F44</f>
        <v>-2600</v>
      </c>
      <c r="I44" s="65">
        <f t="shared" ref="I44:I49" si="16">H44/G44</f>
        <v>-4.8148148148148152E-3</v>
      </c>
    </row>
    <row r="45" spans="1:9" x14ac:dyDescent="0.2">
      <c r="A45" s="2" t="s">
        <v>36</v>
      </c>
      <c r="B45" s="47">
        <f>C45*0.9</f>
        <v>9720</v>
      </c>
      <c r="C45" s="48">
        <v>10800</v>
      </c>
      <c r="D45" s="48">
        <f t="shared" si="14"/>
        <v>11556</v>
      </c>
      <c r="E45" s="48"/>
      <c r="F45" s="60">
        <f>SUM(B45:D45)</f>
        <v>32076</v>
      </c>
      <c r="G45" s="60">
        <f>SUM('Budget P&amp;L'!B45:D45)</f>
        <v>33359.040000000001</v>
      </c>
      <c r="H45" s="60">
        <f t="shared" si="15"/>
        <v>1283.0400000000009</v>
      </c>
      <c r="I45" s="65">
        <f t="shared" si="16"/>
        <v>3.8461538461538484E-2</v>
      </c>
    </row>
    <row r="46" spans="1:9" x14ac:dyDescent="0.2">
      <c r="A46" s="2" t="s">
        <v>37</v>
      </c>
      <c r="B46" s="49">
        <f>((B43)+(B44))+(B45)</f>
        <v>179720</v>
      </c>
      <c r="C46" s="49">
        <f>SUM(C44:C45)</f>
        <v>190800</v>
      </c>
      <c r="D46" s="49">
        <f>SUM(D44:D45)</f>
        <v>204156</v>
      </c>
      <c r="E46" s="51"/>
      <c r="F46" s="49">
        <f t="shared" ref="F46:H46" si="17">SUM(F44:F45)</f>
        <v>574676</v>
      </c>
      <c r="G46" s="49">
        <f t="shared" si="17"/>
        <v>573359.04</v>
      </c>
      <c r="H46" s="49">
        <f t="shared" si="17"/>
        <v>-1316.9599999999991</v>
      </c>
      <c r="I46" s="65">
        <f t="shared" si="16"/>
        <v>-2.2969202683191304E-3</v>
      </c>
    </row>
    <row r="47" spans="1:9" x14ac:dyDescent="0.2">
      <c r="A47" s="2" t="s">
        <v>38</v>
      </c>
      <c r="B47" s="50"/>
      <c r="C47" s="48"/>
      <c r="I47" s="65"/>
    </row>
    <row r="48" spans="1:9" x14ac:dyDescent="0.2">
      <c r="A48" s="2" t="s">
        <v>39</v>
      </c>
      <c r="B48" s="47">
        <v>72000</v>
      </c>
      <c r="C48" s="48">
        <v>73000</v>
      </c>
      <c r="D48" s="48">
        <v>73500</v>
      </c>
      <c r="E48" s="48"/>
      <c r="F48" s="60">
        <f>SUM(B48:D48)</f>
        <v>218500</v>
      </c>
      <c r="G48" s="60">
        <f>SUM('Budget P&amp;L'!B48:D48)</f>
        <v>181764</v>
      </c>
      <c r="H48" s="60">
        <f t="shared" ref="H48" si="18">G48-F48</f>
        <v>-36736</v>
      </c>
      <c r="I48" s="65">
        <f t="shared" si="16"/>
        <v>-0.2021082282520191</v>
      </c>
    </row>
    <row r="49" spans="1:9" x14ac:dyDescent="0.2">
      <c r="A49" s="2" t="s">
        <v>40</v>
      </c>
      <c r="B49" s="49">
        <f>(B47)+(B48)</f>
        <v>72000</v>
      </c>
      <c r="C49" s="49">
        <f>SUM(C48)</f>
        <v>73000</v>
      </c>
      <c r="D49" s="49">
        <f>SUM(D48)</f>
        <v>73500</v>
      </c>
      <c r="E49" s="51"/>
      <c r="F49" s="49">
        <f t="shared" ref="F49:H49" si="19">SUM(F48)</f>
        <v>218500</v>
      </c>
      <c r="G49" s="49">
        <f t="shared" si="19"/>
        <v>181764</v>
      </c>
      <c r="H49" s="49">
        <f t="shared" si="19"/>
        <v>-36736</v>
      </c>
      <c r="I49" s="65">
        <f t="shared" si="16"/>
        <v>-0.2021082282520191</v>
      </c>
    </row>
    <row r="50" spans="1:9" x14ac:dyDescent="0.2">
      <c r="A50" s="2" t="s">
        <v>41</v>
      </c>
      <c r="B50" s="50"/>
      <c r="C50" s="48"/>
      <c r="I50" s="65"/>
    </row>
    <row r="51" spans="1:9" x14ac:dyDescent="0.2">
      <c r="A51" s="2" t="s">
        <v>42</v>
      </c>
      <c r="B51" s="47">
        <f t="shared" ref="B51:B52" si="20">C51*0.9</f>
        <v>90000</v>
      </c>
      <c r="C51" s="48">
        <v>100000</v>
      </c>
      <c r="D51" s="48">
        <f t="shared" ref="D51:D52" si="21">C51*1.07</f>
        <v>107000</v>
      </c>
      <c r="E51" s="48"/>
      <c r="F51" s="60">
        <f>SUM(B51:D51)</f>
        <v>297000</v>
      </c>
      <c r="G51" s="60">
        <f>SUM('Budget P&amp;L'!B51:D51)</f>
        <v>297000</v>
      </c>
      <c r="H51" s="60">
        <f t="shared" ref="H51:H52" si="22">G51-F51</f>
        <v>0</v>
      </c>
      <c r="I51" s="65">
        <f t="shared" ref="I51:I52" si="23">H51/G51</f>
        <v>0</v>
      </c>
    </row>
    <row r="52" spans="1:9" x14ac:dyDescent="0.2">
      <c r="A52" s="2" t="s">
        <v>43</v>
      </c>
      <c r="B52" s="47">
        <f t="shared" si="20"/>
        <v>216000</v>
      </c>
      <c r="C52" s="48">
        <v>240000</v>
      </c>
      <c r="D52" s="48">
        <f t="shared" si="21"/>
        <v>256800.00000000003</v>
      </c>
      <c r="E52" s="48"/>
      <c r="F52" s="60">
        <f>SUM(B52:D52)</f>
        <v>712800</v>
      </c>
      <c r="G52" s="60">
        <f>SUM('Budget P&amp;L'!B52:D52)</f>
        <v>712800</v>
      </c>
      <c r="H52" s="60">
        <f t="shared" si="22"/>
        <v>0</v>
      </c>
      <c r="I52" s="65">
        <f t="shared" si="23"/>
        <v>0</v>
      </c>
    </row>
    <row r="53" spans="1:9" x14ac:dyDescent="0.2">
      <c r="A53" s="2" t="s">
        <v>44</v>
      </c>
      <c r="B53" s="49">
        <f>((B50)+(B51))+(B52)</f>
        <v>306000</v>
      </c>
      <c r="C53" s="49">
        <f>SUM(C51:C52)</f>
        <v>340000</v>
      </c>
      <c r="D53" s="49">
        <f>SUM(D51:D52)</f>
        <v>363800</v>
      </c>
      <c r="E53" s="51"/>
      <c r="F53" s="49">
        <f t="shared" ref="F53:G53" si="24">SUM(F51:F52)</f>
        <v>1009800</v>
      </c>
      <c r="G53" s="49">
        <f t="shared" si="24"/>
        <v>1009800</v>
      </c>
      <c r="H53" s="49"/>
      <c r="I53" s="65"/>
    </row>
    <row r="54" spans="1:9" x14ac:dyDescent="0.2">
      <c r="A54" s="2" t="s">
        <v>45</v>
      </c>
      <c r="B54" s="50"/>
      <c r="C54" s="48"/>
      <c r="I54" s="65"/>
    </row>
    <row r="55" spans="1:9" x14ac:dyDescent="0.2">
      <c r="A55" s="2" t="s">
        <v>46</v>
      </c>
      <c r="B55" s="47">
        <f>C55</f>
        <v>458330</v>
      </c>
      <c r="C55" s="48">
        <v>458330</v>
      </c>
      <c r="D55" s="48">
        <f>C55</f>
        <v>458330</v>
      </c>
      <c r="E55" s="48"/>
      <c r="F55" s="60">
        <f t="shared" ref="F55:F58" si="25">SUM(B55:D55)</f>
        <v>1374990</v>
      </c>
      <c r="G55" s="60">
        <f>SUM('Budget P&amp;L'!B55:D55)</f>
        <v>1374990</v>
      </c>
      <c r="H55" s="60">
        <f t="shared" ref="H55:H58" si="26">G55-F55</f>
        <v>0</v>
      </c>
      <c r="I55" s="65">
        <f t="shared" ref="I55:I62" si="27">H55/G55</f>
        <v>0</v>
      </c>
    </row>
    <row r="56" spans="1:9" x14ac:dyDescent="0.2">
      <c r="A56" s="2" t="s">
        <v>47</v>
      </c>
      <c r="B56" s="47">
        <f t="shared" ref="B56:B58" si="28">C56*0.9</f>
        <v>16200</v>
      </c>
      <c r="C56" s="48">
        <v>18000</v>
      </c>
      <c r="D56" s="48">
        <f t="shared" ref="D56:D58" si="29">C56*1.07</f>
        <v>19260</v>
      </c>
      <c r="E56" s="48"/>
      <c r="F56" s="60">
        <f t="shared" si="25"/>
        <v>53460</v>
      </c>
      <c r="G56" s="60">
        <f>SUM('Budget P&amp;L'!B56:D56)</f>
        <v>52560</v>
      </c>
      <c r="H56" s="60">
        <f t="shared" si="26"/>
        <v>-900</v>
      </c>
      <c r="I56" s="65">
        <f t="shared" si="27"/>
        <v>-1.7123287671232876E-2</v>
      </c>
    </row>
    <row r="57" spans="1:9" x14ac:dyDescent="0.2">
      <c r="A57" s="2" t="s">
        <v>48</v>
      </c>
      <c r="B57" s="47">
        <f t="shared" si="28"/>
        <v>1503</v>
      </c>
      <c r="C57" s="48">
        <v>1670</v>
      </c>
      <c r="D57" s="48">
        <f t="shared" si="29"/>
        <v>1786.9</v>
      </c>
      <c r="E57" s="48"/>
      <c r="F57" s="60">
        <f t="shared" si="25"/>
        <v>4959.8999999999996</v>
      </c>
      <c r="G57" s="60">
        <f>SUM('Budget P&amp;L'!B57:D57)</f>
        <v>4926.5</v>
      </c>
      <c r="H57" s="60">
        <f t="shared" si="26"/>
        <v>-33.399999999999636</v>
      </c>
      <c r="I57" s="65">
        <f t="shared" si="27"/>
        <v>-6.7796610169490786E-3</v>
      </c>
    </row>
    <row r="58" spans="1:9" x14ac:dyDescent="0.2">
      <c r="A58" s="2" t="s">
        <v>49</v>
      </c>
      <c r="B58" s="47">
        <f t="shared" si="28"/>
        <v>50319.180000000008</v>
      </c>
      <c r="C58" s="48">
        <v>55910.200000000004</v>
      </c>
      <c r="D58" s="48">
        <f t="shared" si="29"/>
        <v>59823.914000000012</v>
      </c>
      <c r="E58" s="48"/>
      <c r="F58" s="60">
        <f t="shared" si="25"/>
        <v>166053.29400000002</v>
      </c>
      <c r="G58" s="60">
        <f>SUM('Budget P&amp;L'!B58:D58)</f>
        <v>164935.09000000003</v>
      </c>
      <c r="H58" s="60">
        <f t="shared" si="26"/>
        <v>-1118.2039999999979</v>
      </c>
      <c r="I58" s="65">
        <f t="shared" si="27"/>
        <v>-6.7796610169491385E-3</v>
      </c>
    </row>
    <row r="59" spans="1:9" x14ac:dyDescent="0.2">
      <c r="A59" s="2" t="s">
        <v>50</v>
      </c>
      <c r="B59" s="49">
        <f>((((B54)+(B55))+(B56))+(B57))+(B58)</f>
        <v>526352.18000000005</v>
      </c>
      <c r="C59" s="49">
        <f>((((C54)+(C55))+(C56))+(C57))+(C58)</f>
        <v>533910.19999999995</v>
      </c>
      <c r="D59" s="49">
        <f>((((D54)+(D55))+(D56))+(D57))+(D58)</f>
        <v>539200.81400000001</v>
      </c>
      <c r="E59" s="51"/>
      <c r="F59" s="49">
        <f>((((F54)+(F55))+(F56))+(F57))+(F58)</f>
        <v>1599463.1939999999</v>
      </c>
      <c r="G59" s="49">
        <f>((((G54)+(G55))+(G56))+(G57))+(G58)</f>
        <v>1597411.59</v>
      </c>
      <c r="H59" s="49">
        <f>((((H54)+(H55))+(H56))+(H57))+(H58)</f>
        <v>-2051.6039999999975</v>
      </c>
      <c r="I59" s="65">
        <f t="shared" si="27"/>
        <v>-1.2843302332619219E-3</v>
      </c>
    </row>
    <row r="60" spans="1:9" x14ac:dyDescent="0.2">
      <c r="A60" s="2" t="s">
        <v>51</v>
      </c>
      <c r="B60" s="49">
        <f>(((((B38)+(B42))+(B46))+(B49))+(B53))+(B59)</f>
        <v>6139823.6600000001</v>
      </c>
      <c r="C60" s="49">
        <f>(((((C38)+(C42))+(C46))+(C49))+(C53))+(C59)</f>
        <v>6770767.3999999994</v>
      </c>
      <c r="D60" s="49">
        <f>(((((D38)+(D42))+(D46))+(D49))+(D53))+(D59)</f>
        <v>7226828.0179999992</v>
      </c>
      <c r="E60" s="51"/>
      <c r="F60" s="49">
        <f>(((((F38)+(F42))+(F46))+(F49))+(F53))+(F59)</f>
        <v>20137419.078000002</v>
      </c>
      <c r="G60" s="49">
        <f>(((((G38)+(G42))+(G46))+(G49))+(G53))+(G59)</f>
        <v>19284622.5198</v>
      </c>
      <c r="H60" s="49">
        <f>(((((H38)+(H42))+(H46))+(H49))+(H53))+(H59)</f>
        <v>-852796.5582000002</v>
      </c>
      <c r="I60" s="65">
        <f t="shared" si="27"/>
        <v>-4.4221584183170445E-2</v>
      </c>
    </row>
    <row r="61" spans="1:9" x14ac:dyDescent="0.2">
      <c r="A61" s="2" t="s">
        <v>52</v>
      </c>
      <c r="B61" s="49">
        <f>(B25)-(B60)</f>
        <v>-5388250.8700000001</v>
      </c>
      <c r="C61" s="49">
        <f>(C25)-(C60)</f>
        <v>-6123039.5</v>
      </c>
      <c r="D61" s="49">
        <f>(D25)-(D60)</f>
        <v>-6004213.7229999993</v>
      </c>
      <c r="E61" s="51"/>
      <c r="F61" s="49">
        <f>(F25)-(F60)</f>
        <v>-17515504.093000002</v>
      </c>
      <c r="G61" s="49">
        <f>(G25)-(G60)</f>
        <v>-16769380.284049999</v>
      </c>
      <c r="H61" s="49">
        <f t="shared" ref="H61:H62" si="30">F61-G61</f>
        <v>-746123.80895000324</v>
      </c>
      <c r="I61" s="65">
        <f t="shared" si="27"/>
        <v>4.4493224932090673E-2</v>
      </c>
    </row>
    <row r="62" spans="1:9" x14ac:dyDescent="0.2">
      <c r="A62" s="2" t="s">
        <v>53</v>
      </c>
      <c r="B62" s="51">
        <f>(B61)+(0)</f>
        <v>-5388250.8700000001</v>
      </c>
      <c r="C62" s="51">
        <f>(C61)+(0)</f>
        <v>-6123039.5</v>
      </c>
      <c r="D62" s="51">
        <f>(D61)+(0)</f>
        <v>-6004213.7229999993</v>
      </c>
      <c r="E62" s="51"/>
      <c r="F62" s="51">
        <f>(F61)+(0)</f>
        <v>-17515504.093000002</v>
      </c>
      <c r="G62" s="51">
        <f>(G61)+(0)</f>
        <v>-16769380.284049999</v>
      </c>
      <c r="H62" s="51">
        <f t="shared" si="30"/>
        <v>-746123.80895000324</v>
      </c>
      <c r="I62" s="65">
        <f t="shared" si="27"/>
        <v>4.4493224932090673E-2</v>
      </c>
    </row>
    <row r="63" spans="1:9" x14ac:dyDescent="0.2">
      <c r="A63" s="2"/>
      <c r="B63" s="3"/>
    </row>
    <row r="66" spans="1:2" x14ac:dyDescent="0.2">
      <c r="A66" s="33"/>
      <c r="B66" s="34"/>
    </row>
  </sheetData>
  <mergeCells count="5">
    <mergeCell ref="A2:B2"/>
    <mergeCell ref="A3:B3"/>
    <mergeCell ref="A4:B4"/>
    <mergeCell ref="A5:B5"/>
    <mergeCell ref="A66:B66"/>
  </mergeCells>
  <pageMargins left="0.7" right="0.7" top="0.75" bottom="0.75" header="0.3" footer="0.3"/>
  <ignoredErrors>
    <ignoredError sqref="B31 D3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7A0C-5D74-7846-A185-291214A19046}">
  <dimension ref="A2:N66"/>
  <sheetViews>
    <sheetView zoomScale="172"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A19" sqref="A19"/>
    </sheetView>
  </sheetViews>
  <sheetFormatPr baseColWidth="10" defaultColWidth="8.83203125" defaultRowHeight="15" x14ac:dyDescent="0.2"/>
  <cols>
    <col min="1" max="1" width="33.33203125" customWidth="1"/>
    <col min="2" max="2" width="10" customWidth="1"/>
    <col min="3" max="3" width="10.33203125" bestFit="1" customWidth="1"/>
    <col min="4" max="5" width="9.83203125" bestFit="1" customWidth="1"/>
    <col min="6" max="6" width="10.33203125" bestFit="1" customWidth="1"/>
    <col min="7" max="12" width="9.83203125" bestFit="1" customWidth="1"/>
    <col min="13" max="13" width="10.6640625" bestFit="1" customWidth="1"/>
    <col min="14" max="14" width="10.6640625" style="58" bestFit="1" customWidth="1"/>
  </cols>
  <sheetData>
    <row r="2" spans="1:14" x14ac:dyDescent="0.2">
      <c r="A2" s="37" t="s">
        <v>98</v>
      </c>
      <c r="B2" s="37"/>
    </row>
    <row r="3" spans="1:14" ht="18" x14ac:dyDescent="0.2">
      <c r="A3" s="35" t="s">
        <v>55</v>
      </c>
      <c r="B3" s="34"/>
      <c r="F3" s="54"/>
    </row>
    <row r="4" spans="1:14" ht="18" x14ac:dyDescent="0.2">
      <c r="A4" s="35" t="s">
        <v>97</v>
      </c>
      <c r="B4" s="34"/>
    </row>
    <row r="5" spans="1:14" x14ac:dyDescent="0.2">
      <c r="A5" s="36">
        <v>2025</v>
      </c>
      <c r="B5" s="34"/>
    </row>
    <row r="6" spans="1:14" x14ac:dyDescent="0.2">
      <c r="B6" s="56" t="s">
        <v>81</v>
      </c>
      <c r="C6" s="56" t="s">
        <v>81</v>
      </c>
      <c r="D6" s="56" t="s">
        <v>81</v>
      </c>
      <c r="E6" s="56" t="s">
        <v>81</v>
      </c>
      <c r="F6" s="56" t="s">
        <v>81</v>
      </c>
      <c r="G6" s="56" t="s">
        <v>81</v>
      </c>
      <c r="H6" s="56" t="s">
        <v>81</v>
      </c>
      <c r="I6" s="56" t="s">
        <v>81</v>
      </c>
      <c r="J6" s="56" t="s">
        <v>81</v>
      </c>
      <c r="K6" s="56" t="s">
        <v>81</v>
      </c>
      <c r="L6" s="56" t="s">
        <v>81</v>
      </c>
      <c r="M6" s="56" t="s">
        <v>81</v>
      </c>
      <c r="N6" s="57" t="s">
        <v>81</v>
      </c>
    </row>
    <row r="7" spans="1:14" ht="16" x14ac:dyDescent="0.2">
      <c r="A7" s="14" t="s">
        <v>78</v>
      </c>
      <c r="B7" s="44">
        <v>45688</v>
      </c>
      <c r="C7" s="44">
        <f>EOMONTH(B7,1)</f>
        <v>45716</v>
      </c>
      <c r="D7" s="44">
        <f t="shared" ref="D7:M7" si="0">EOMONTH(C7,1)</f>
        <v>45747</v>
      </c>
      <c r="E7" s="44">
        <f t="shared" si="0"/>
        <v>45777</v>
      </c>
      <c r="F7" s="44">
        <f t="shared" si="0"/>
        <v>45808</v>
      </c>
      <c r="G7" s="44">
        <f t="shared" si="0"/>
        <v>45838</v>
      </c>
      <c r="H7" s="44">
        <f t="shared" si="0"/>
        <v>45869</v>
      </c>
      <c r="I7" s="44">
        <f t="shared" si="0"/>
        <v>45900</v>
      </c>
      <c r="J7" s="44">
        <f t="shared" si="0"/>
        <v>45930</v>
      </c>
      <c r="K7" s="44">
        <f t="shared" si="0"/>
        <v>45961</v>
      </c>
      <c r="L7" s="44">
        <f t="shared" si="0"/>
        <v>45991</v>
      </c>
      <c r="M7" s="44">
        <f t="shared" si="0"/>
        <v>46022</v>
      </c>
      <c r="N7" s="59">
        <v>2026</v>
      </c>
    </row>
    <row r="8" spans="1:14" ht="16" x14ac:dyDescent="0.2">
      <c r="A8" s="23" t="s">
        <v>62</v>
      </c>
      <c r="B8" s="24">
        <v>125</v>
      </c>
      <c r="C8" s="24">
        <v>155</v>
      </c>
      <c r="D8" s="24">
        <v>180</v>
      </c>
      <c r="E8" s="55">
        <f>D8*1.02</f>
        <v>183.6</v>
      </c>
      <c r="F8" s="55">
        <f t="shared" ref="F8:M8" si="1">E8*1.02</f>
        <v>187.27199999999999</v>
      </c>
      <c r="G8" s="55">
        <f t="shared" si="1"/>
        <v>191.01743999999999</v>
      </c>
      <c r="H8" s="55">
        <f t="shared" si="1"/>
        <v>194.8377888</v>
      </c>
      <c r="I8" s="55">
        <f t="shared" si="1"/>
        <v>198.73454457599999</v>
      </c>
      <c r="J8" s="55">
        <f t="shared" si="1"/>
        <v>202.70923546751999</v>
      </c>
      <c r="K8" s="55">
        <f t="shared" si="1"/>
        <v>206.7634201768704</v>
      </c>
      <c r="L8" s="55">
        <f t="shared" si="1"/>
        <v>210.89868858040782</v>
      </c>
      <c r="M8" s="55">
        <f t="shared" si="1"/>
        <v>215.11666235201599</v>
      </c>
      <c r="N8" s="55">
        <f>M8</f>
        <v>215.11666235201599</v>
      </c>
    </row>
    <row r="9" spans="1:14" x14ac:dyDescent="0.2">
      <c r="A9" s="1"/>
      <c r="B9" s="7"/>
    </row>
    <row r="10" spans="1:14" x14ac:dyDescent="0.2">
      <c r="A10" s="2" t="s">
        <v>1</v>
      </c>
      <c r="B10" s="3"/>
    </row>
    <row r="11" spans="1:14" x14ac:dyDescent="0.2">
      <c r="A11" s="2" t="s">
        <v>2</v>
      </c>
      <c r="B11" s="47">
        <f>'Answer Key'!B11*0.96</f>
        <v>1055808</v>
      </c>
      <c r="C11" s="47">
        <f>'Answer Key'!C11*0.96</f>
        <v>1173120</v>
      </c>
      <c r="D11" s="47">
        <f>'Answer Key'!D11*0.96</f>
        <v>1525056</v>
      </c>
      <c r="E11" s="48">
        <v>1731574.0000000002</v>
      </c>
      <c r="F11" s="48">
        <v>1887415.6600000004</v>
      </c>
      <c r="G11" s="48">
        <v>2095031.3826000006</v>
      </c>
      <c r="H11" s="48">
        <v>2325484.8346860008</v>
      </c>
      <c r="I11" s="48">
        <v>2581288.1665014611</v>
      </c>
      <c r="J11" s="48">
        <v>2865229.8648166219</v>
      </c>
      <c r="K11" s="48">
        <v>3180405.1499464507</v>
      </c>
      <c r="L11" s="48">
        <v>3530249.7164405608</v>
      </c>
      <c r="M11" s="48">
        <v>3918577.1852490227</v>
      </c>
      <c r="N11" s="60">
        <f>SUM(B11:M11)</f>
        <v>27869239.960240122</v>
      </c>
    </row>
    <row r="12" spans="1:14" x14ac:dyDescent="0.2">
      <c r="A12" s="2" t="s">
        <v>3</v>
      </c>
      <c r="B12" s="47">
        <f>'Answer Key'!B12*0.96</f>
        <v>819072</v>
      </c>
      <c r="C12" s="47">
        <f>'Answer Key'!C12*0.96</f>
        <v>910080</v>
      </c>
      <c r="D12" s="47">
        <f>'Answer Key'!D12*0.96</f>
        <v>1183104</v>
      </c>
      <c r="E12" s="48">
        <v>1343316</v>
      </c>
      <c r="F12" s="48">
        <v>1464214.4400000002</v>
      </c>
      <c r="G12" s="48">
        <v>1625278.0284000004</v>
      </c>
      <c r="H12" s="48">
        <v>1804058.6115240005</v>
      </c>
      <c r="I12" s="48">
        <v>2002505.0587916407</v>
      </c>
      <c r="J12" s="48">
        <v>2222780.6152587212</v>
      </c>
      <c r="K12" s="48">
        <v>2467286.4829371809</v>
      </c>
      <c r="L12" s="48">
        <v>2738687.9960602708</v>
      </c>
      <c r="M12" s="48">
        <v>3039943.675626901</v>
      </c>
      <c r="N12" s="60">
        <f>SUM(B12:M12)</f>
        <v>21620326.908598717</v>
      </c>
    </row>
    <row r="13" spans="1:14" x14ac:dyDescent="0.2">
      <c r="A13" s="2" t="s">
        <v>4</v>
      </c>
      <c r="B13" s="49">
        <f>(B11)+(B12)</f>
        <v>1874880</v>
      </c>
      <c r="C13" s="49">
        <f>(C11)+(C12)</f>
        <v>2083200</v>
      </c>
      <c r="D13" s="49">
        <f>(D11)+(D12)</f>
        <v>2708160</v>
      </c>
      <c r="E13" s="49">
        <f t="shared" ref="E13:N13" si="2">(E11)+(E12)</f>
        <v>3074890</v>
      </c>
      <c r="F13" s="49">
        <f t="shared" si="2"/>
        <v>3351630.1000000006</v>
      </c>
      <c r="G13" s="49">
        <f t="shared" si="2"/>
        <v>3720309.4110000012</v>
      </c>
      <c r="H13" s="49">
        <f t="shared" si="2"/>
        <v>4129543.4462100016</v>
      </c>
      <c r="I13" s="49">
        <f t="shared" si="2"/>
        <v>4583793.2252931017</v>
      </c>
      <c r="J13" s="49">
        <f t="shared" si="2"/>
        <v>5088010.4800753426</v>
      </c>
      <c r="K13" s="49">
        <f t="shared" si="2"/>
        <v>5647691.6328836316</v>
      </c>
      <c r="L13" s="49">
        <f t="shared" si="2"/>
        <v>6268937.7125008311</v>
      </c>
      <c r="M13" s="49">
        <f t="shared" si="2"/>
        <v>6958520.8608759232</v>
      </c>
      <c r="N13" s="49">
        <f t="shared" si="2"/>
        <v>49489566.868838839</v>
      </c>
    </row>
    <row r="14" spans="1:14" x14ac:dyDescent="0.2">
      <c r="A14" s="2" t="s">
        <v>5</v>
      </c>
      <c r="B14" s="50"/>
      <c r="C14" s="48"/>
    </row>
    <row r="15" spans="1:14" x14ac:dyDescent="0.2">
      <c r="A15" s="2" t="s">
        <v>6</v>
      </c>
      <c r="B15" s="50"/>
      <c r="C15" s="48"/>
    </row>
    <row r="16" spans="1:14" x14ac:dyDescent="0.2">
      <c r="A16" s="2" t="s">
        <v>7</v>
      </c>
      <c r="B16" s="47">
        <v>339916.5</v>
      </c>
      <c r="C16" s="47">
        <v>377685</v>
      </c>
      <c r="D16" s="47">
        <v>396569.25</v>
      </c>
      <c r="E16" s="48">
        <v>420603.75</v>
      </c>
      <c r="F16" s="48">
        <v>441633.9375</v>
      </c>
      <c r="G16" s="48">
        <v>463715.63437500002</v>
      </c>
      <c r="H16" s="48">
        <v>486901.41609375004</v>
      </c>
      <c r="I16" s="48">
        <v>511246.48689843755</v>
      </c>
      <c r="J16" s="48">
        <v>536808.81124335947</v>
      </c>
      <c r="K16" s="48">
        <v>563649.25180552748</v>
      </c>
      <c r="L16" s="48">
        <v>591831.71439580387</v>
      </c>
      <c r="M16" s="48">
        <v>621423.30011559406</v>
      </c>
      <c r="N16" s="60">
        <f t="shared" ref="N16:N22" si="3">SUM(B16:M16)</f>
        <v>5751985.0524274716</v>
      </c>
    </row>
    <row r="17" spans="1:14" x14ac:dyDescent="0.2">
      <c r="A17" s="2" t="s">
        <v>8</v>
      </c>
      <c r="B17" s="47">
        <f>'Answer Key'!B17*0.95</f>
        <v>795150</v>
      </c>
      <c r="C17" s="47">
        <f>'Answer Key'!C17*0.95</f>
        <v>883500</v>
      </c>
      <c r="D17" s="47">
        <f>'Answer Key'!D17*0.95</f>
        <v>927675</v>
      </c>
      <c r="E17" s="48">
        <v>996030</v>
      </c>
      <c r="F17" s="48">
        <v>1015950.6</v>
      </c>
      <c r="G17" s="48">
        <v>1036269.612</v>
      </c>
      <c r="H17" s="48">
        <v>1056995.0042399999</v>
      </c>
      <c r="I17" s="48">
        <v>1078134.9043248</v>
      </c>
      <c r="J17" s="48">
        <v>1099697.602411296</v>
      </c>
      <c r="K17" s="48">
        <v>1121691.554459522</v>
      </c>
      <c r="L17" s="48">
        <v>1144125.3855487125</v>
      </c>
      <c r="M17" s="48">
        <v>1167007.8932596867</v>
      </c>
      <c r="N17" s="60">
        <f t="shared" si="3"/>
        <v>12322227.556244016</v>
      </c>
    </row>
    <row r="18" spans="1:14" x14ac:dyDescent="0.2">
      <c r="A18" s="2" t="s">
        <v>9</v>
      </c>
      <c r="B18" s="47">
        <f>'Answer Key'!B18*0.95</f>
        <v>10910.198999999999</v>
      </c>
      <c r="C18" s="47">
        <f>'Answer Key'!C18*0.95</f>
        <v>109101.98999999999</v>
      </c>
      <c r="D18" s="47">
        <f>'Answer Key'!D18*0.95</f>
        <v>114557.0895</v>
      </c>
      <c r="E18" s="48">
        <v>126615.73050000001</v>
      </c>
      <c r="F18" s="48">
        <v>132946.51702500001</v>
      </c>
      <c r="G18" s="48">
        <v>139593.84287625001</v>
      </c>
      <c r="H18" s="48">
        <v>146573.53502006253</v>
      </c>
      <c r="I18" s="48">
        <v>153902.21177106566</v>
      </c>
      <c r="J18" s="48">
        <v>161597.32235961896</v>
      </c>
      <c r="K18" s="48">
        <v>169677.18847759991</v>
      </c>
      <c r="L18" s="48">
        <v>178161.04790147991</v>
      </c>
      <c r="M18" s="48">
        <v>187069.10029655392</v>
      </c>
      <c r="N18" s="60">
        <f t="shared" si="3"/>
        <v>1630705.7747276309</v>
      </c>
    </row>
    <row r="19" spans="1:14" x14ac:dyDescent="0.2">
      <c r="A19" s="2" t="s">
        <v>10</v>
      </c>
      <c r="B19" s="47">
        <f>'Answer Key'!B19*0.95</f>
        <v>1325.25</v>
      </c>
      <c r="C19" s="47">
        <f>'Answer Key'!C19*0.95</f>
        <v>13252.5</v>
      </c>
      <c r="D19" s="47">
        <f>'Answer Key'!D19*0.95</f>
        <v>13915.125</v>
      </c>
      <c r="E19" s="48">
        <v>15379.875</v>
      </c>
      <c r="F19" s="48">
        <v>16148.868750000001</v>
      </c>
      <c r="G19" s="48">
        <v>16956.312187500003</v>
      </c>
      <c r="H19" s="48">
        <v>17804.127796875004</v>
      </c>
      <c r="I19" s="48">
        <v>18694.334186718756</v>
      </c>
      <c r="J19" s="48">
        <v>19629.050896054694</v>
      </c>
      <c r="K19" s="48">
        <v>20610.503440857428</v>
      </c>
      <c r="L19" s="48">
        <v>21641.0286129003</v>
      </c>
      <c r="M19" s="48">
        <v>22723.080043545317</v>
      </c>
      <c r="N19" s="60">
        <f t="shared" si="3"/>
        <v>198080.05591445148</v>
      </c>
    </row>
    <row r="20" spans="1:14" x14ac:dyDescent="0.2">
      <c r="A20" s="2" t="s">
        <v>11</v>
      </c>
      <c r="B20" s="47">
        <f>'Answer Key'!B20*0.95</f>
        <v>6758.7749999999996</v>
      </c>
      <c r="C20" s="47">
        <f>'Answer Key'!C20*0.95</f>
        <v>67587.75</v>
      </c>
      <c r="D20" s="47">
        <f>'Answer Key'!D20*0.95</f>
        <v>70967.137499999997</v>
      </c>
      <c r="E20" s="48">
        <v>78437.362500000003</v>
      </c>
      <c r="F20" s="48">
        <v>82359.230625000011</v>
      </c>
      <c r="G20" s="48">
        <v>86477.192156250021</v>
      </c>
      <c r="H20" s="48">
        <v>90801.051764062533</v>
      </c>
      <c r="I20" s="48">
        <v>95341.104352265669</v>
      </c>
      <c r="J20" s="48">
        <v>100108.15956987896</v>
      </c>
      <c r="K20" s="48">
        <v>105113.56754837291</v>
      </c>
      <c r="L20" s="48">
        <v>110369.24592579156</v>
      </c>
      <c r="M20" s="48">
        <v>115887.70822208114</v>
      </c>
      <c r="N20" s="60">
        <f t="shared" si="3"/>
        <v>1010208.2851637028</v>
      </c>
    </row>
    <row r="21" spans="1:14" x14ac:dyDescent="0.2">
      <c r="A21" s="2" t="s">
        <v>12</v>
      </c>
      <c r="B21" s="47">
        <f>'Answer Key'!B21*0.95</f>
        <v>179.607</v>
      </c>
      <c r="C21" s="47">
        <f>'Answer Key'!C21*0.95</f>
        <v>1796.07</v>
      </c>
      <c r="D21" s="47">
        <f>'Answer Key'!D21*0.95</f>
        <v>1885.8734999999997</v>
      </c>
      <c r="E21" s="48">
        <v>2084.3865000000001</v>
      </c>
      <c r="F21" s="48">
        <v>2188.6058250000001</v>
      </c>
      <c r="G21" s="48">
        <v>2298.0361162500003</v>
      </c>
      <c r="H21" s="48">
        <v>2412.9379220625005</v>
      </c>
      <c r="I21" s="48">
        <v>2533.5848181656256</v>
      </c>
      <c r="J21" s="48">
        <v>2660.264059073907</v>
      </c>
      <c r="K21" s="48">
        <v>2793.2772620276023</v>
      </c>
      <c r="L21" s="48">
        <v>2932.9411251289825</v>
      </c>
      <c r="M21" s="48">
        <v>3079.5881813854317</v>
      </c>
      <c r="N21" s="60">
        <f t="shared" si="3"/>
        <v>26845.17230909405</v>
      </c>
    </row>
    <row r="22" spans="1:14" x14ac:dyDescent="0.2">
      <c r="A22" s="2" t="s">
        <v>13</v>
      </c>
      <c r="B22" s="47">
        <f>'Answer Key'!B22*0.95</f>
        <v>849.51850000000002</v>
      </c>
      <c r="C22" s="47">
        <f>'Answer Key'!C22*0.95</f>
        <v>8495.1849999999995</v>
      </c>
      <c r="D22" s="47">
        <f>'Answer Key'!D22*0.95</f>
        <v>8919.9442499999986</v>
      </c>
      <c r="E22" s="48">
        <v>9858.8857499999995</v>
      </c>
      <c r="F22" s="48">
        <v>10351.8300375</v>
      </c>
      <c r="G22" s="48">
        <v>10869.421539375</v>
      </c>
      <c r="H22" s="48">
        <v>11412.89261634375</v>
      </c>
      <c r="I22" s="48">
        <v>11983.537247160937</v>
      </c>
      <c r="J22" s="48">
        <v>12582.714109518984</v>
      </c>
      <c r="K22" s="48">
        <v>13211.849814994934</v>
      </c>
      <c r="L22" s="48">
        <v>13872.44230574468</v>
      </c>
      <c r="M22" s="48">
        <v>14566.064421031915</v>
      </c>
      <c r="N22" s="60">
        <f t="shared" si="3"/>
        <v>126974.28559167021</v>
      </c>
    </row>
    <row r="23" spans="1:14" x14ac:dyDescent="0.2">
      <c r="A23" s="2" t="s">
        <v>14</v>
      </c>
      <c r="B23" s="49">
        <f>(((((((B15)+(B16))+(B17))+(B18))+(B19))+(B20))+(B21))+(B22)</f>
        <v>1155089.8495</v>
      </c>
      <c r="C23" s="49">
        <f>(((((((C15)+(C16))+(C17))+(C18))+(C19))+(C20))+(C21))+(C22)</f>
        <v>1461418.4950000001</v>
      </c>
      <c r="D23" s="49">
        <f>(((((((D15)+(D16))+(D17))+(D18))+(D19))+(D20))+(D21))+(D22)</f>
        <v>1534489.4197499999</v>
      </c>
      <c r="E23" s="49">
        <f t="shared" ref="E23:N23" si="4">(((((((E15)+(E16))+(E17))+(E18))+(E19))+(E20))+(E21))+(E22)</f>
        <v>1649009.99025</v>
      </c>
      <c r="F23" s="49">
        <f t="shared" si="4"/>
        <v>1701579.5897625</v>
      </c>
      <c r="G23" s="49">
        <f t="shared" si="4"/>
        <v>1756180.0512506254</v>
      </c>
      <c r="H23" s="49">
        <f t="shared" si="4"/>
        <v>1812900.9654531565</v>
      </c>
      <c r="I23" s="49">
        <f t="shared" si="4"/>
        <v>1871836.163598614</v>
      </c>
      <c r="J23" s="49">
        <f t="shared" si="4"/>
        <v>1933083.9246488011</v>
      </c>
      <c r="K23" s="49">
        <f t="shared" si="4"/>
        <v>1996747.1928089026</v>
      </c>
      <c r="L23" s="49">
        <f t="shared" si="4"/>
        <v>2062933.8058155617</v>
      </c>
      <c r="M23" s="49">
        <f t="shared" si="4"/>
        <v>2131756.7345398781</v>
      </c>
      <c r="N23" s="49">
        <f t="shared" si="4"/>
        <v>21067026.182378035</v>
      </c>
    </row>
    <row r="24" spans="1:14" x14ac:dyDescent="0.2">
      <c r="A24" s="2" t="s">
        <v>15</v>
      </c>
      <c r="B24" s="49">
        <f>B23</f>
        <v>1155089.8495</v>
      </c>
      <c r="C24" s="49">
        <f>C23</f>
        <v>1461418.4950000001</v>
      </c>
      <c r="D24" s="49">
        <f>D23</f>
        <v>1534489.4197499999</v>
      </c>
      <c r="E24" s="49">
        <f t="shared" ref="E24:N24" si="5">E23</f>
        <v>1649009.99025</v>
      </c>
      <c r="F24" s="49">
        <f t="shared" si="5"/>
        <v>1701579.5897625</v>
      </c>
      <c r="G24" s="49">
        <f t="shared" si="5"/>
        <v>1756180.0512506254</v>
      </c>
      <c r="H24" s="49">
        <f t="shared" si="5"/>
        <v>1812900.9654531565</v>
      </c>
      <c r="I24" s="49">
        <f t="shared" si="5"/>
        <v>1871836.163598614</v>
      </c>
      <c r="J24" s="49">
        <f t="shared" si="5"/>
        <v>1933083.9246488011</v>
      </c>
      <c r="K24" s="49">
        <f t="shared" si="5"/>
        <v>1996747.1928089026</v>
      </c>
      <c r="L24" s="49">
        <f t="shared" si="5"/>
        <v>2062933.8058155617</v>
      </c>
      <c r="M24" s="49">
        <f t="shared" si="5"/>
        <v>2131756.7345398781</v>
      </c>
      <c r="N24" s="49">
        <f t="shared" si="5"/>
        <v>21067026.182378035</v>
      </c>
    </row>
    <row r="25" spans="1:14" x14ac:dyDescent="0.2">
      <c r="A25" s="2" t="s">
        <v>16</v>
      </c>
      <c r="B25" s="49">
        <f>(B13)-(B24)</f>
        <v>719790.15049999999</v>
      </c>
      <c r="C25" s="49">
        <f>(C13)-(C24)</f>
        <v>621781.50499999989</v>
      </c>
      <c r="D25" s="49">
        <f>(D13)-(D24)</f>
        <v>1173670.5802500001</v>
      </c>
      <c r="E25" s="49">
        <f t="shared" ref="E25:N25" si="6">(E13)-(E24)</f>
        <v>1425880.00975</v>
      </c>
      <c r="F25" s="49">
        <f t="shared" si="6"/>
        <v>1650050.5102375005</v>
      </c>
      <c r="G25" s="49">
        <f t="shared" si="6"/>
        <v>1964129.3597493758</v>
      </c>
      <c r="H25" s="49">
        <f t="shared" si="6"/>
        <v>2316642.4807568453</v>
      </c>
      <c r="I25" s="49">
        <f t="shared" si="6"/>
        <v>2711957.0616944879</v>
      </c>
      <c r="J25" s="49">
        <f t="shared" si="6"/>
        <v>3154926.5554265417</v>
      </c>
      <c r="K25" s="49">
        <f t="shared" si="6"/>
        <v>3650944.4400747288</v>
      </c>
      <c r="L25" s="49">
        <f t="shared" si="6"/>
        <v>4206003.9066852694</v>
      </c>
      <c r="M25" s="49">
        <f t="shared" si="6"/>
        <v>4826764.1263360456</v>
      </c>
      <c r="N25" s="49">
        <f t="shared" si="6"/>
        <v>28422540.686460804</v>
      </c>
    </row>
    <row r="26" spans="1:14" x14ac:dyDescent="0.2">
      <c r="A26" s="2" t="s">
        <v>17</v>
      </c>
      <c r="B26" s="50"/>
      <c r="C26" s="48"/>
    </row>
    <row r="27" spans="1:14" x14ac:dyDescent="0.2">
      <c r="A27" s="2" t="s">
        <v>18</v>
      </c>
      <c r="B27" s="50"/>
      <c r="C27" s="48"/>
    </row>
    <row r="28" spans="1:14" x14ac:dyDescent="0.2">
      <c r="A28" s="2" t="s">
        <v>19</v>
      </c>
      <c r="B28" s="47">
        <f>'Answer Key'!B28*0.95</f>
        <v>3508920</v>
      </c>
      <c r="C28" s="47">
        <f>'Answer Key'!C28*0.95</f>
        <v>3898800</v>
      </c>
      <c r="D28" s="47">
        <f>'Answer Key'!D28*0.95</f>
        <v>4171716</v>
      </c>
      <c r="E28" s="48">
        <v>4479983.8559999997</v>
      </c>
      <c r="F28" s="48">
        <v>4570479.5298911994</v>
      </c>
      <c r="G28" s="48">
        <v>4662803.2163950019</v>
      </c>
      <c r="H28" s="48">
        <v>4756991.8413661812</v>
      </c>
      <c r="I28" s="48">
        <v>4853083.0765617779</v>
      </c>
      <c r="J28" s="48">
        <v>4951115.354708326</v>
      </c>
      <c r="K28" s="48">
        <v>5051127.884873434</v>
      </c>
      <c r="L28" s="48">
        <v>5153160.6681478769</v>
      </c>
      <c r="M28" s="48">
        <v>5257254.5136444643</v>
      </c>
      <c r="N28" s="60">
        <f t="shared" ref="N28:N37" si="7">SUM(B28:M28)</f>
        <v>55315435.941588268</v>
      </c>
    </row>
    <row r="29" spans="1:14" x14ac:dyDescent="0.2">
      <c r="A29" s="2" t="s">
        <v>20</v>
      </c>
      <c r="B29" s="47">
        <f>'Answer Key'!B29*0.95</f>
        <v>425498.10299999994</v>
      </c>
      <c r="C29" s="47">
        <f>'Answer Key'!C29*0.95</f>
        <v>472775.67</v>
      </c>
      <c r="D29" s="47">
        <f>'Answer Key'!D29*0.95</f>
        <v>505869.9669</v>
      </c>
      <c r="E29" s="48">
        <v>543251.09498040006</v>
      </c>
      <c r="F29" s="48">
        <v>554224.76709900412</v>
      </c>
      <c r="G29" s="48">
        <v>565420.10739440401</v>
      </c>
      <c r="H29" s="48">
        <v>576841.59356377099</v>
      </c>
      <c r="I29" s="48">
        <v>588493.79375375912</v>
      </c>
      <c r="J29" s="48">
        <v>600381.36838758504</v>
      </c>
      <c r="K29" s="48">
        <v>612509.07202901423</v>
      </c>
      <c r="L29" s="48">
        <v>624881.7552840003</v>
      </c>
      <c r="M29" s="48">
        <v>637504.36674073711</v>
      </c>
      <c r="N29" s="60">
        <f t="shared" si="7"/>
        <v>6707651.6591326753</v>
      </c>
    </row>
    <row r="30" spans="1:14" x14ac:dyDescent="0.2">
      <c r="A30" s="2" t="s">
        <v>21</v>
      </c>
      <c r="B30" s="47">
        <f>'Answer Key'!B30*0.95</f>
        <v>375177.42000000004</v>
      </c>
      <c r="C30" s="47">
        <f>'Answer Key'!C30*0.95</f>
        <v>416863.8</v>
      </c>
      <c r="D30" s="47">
        <f>'Answer Key'!D30*0.95</f>
        <v>446044.266</v>
      </c>
      <c r="E30" s="48">
        <v>479004.58965600003</v>
      </c>
      <c r="F30" s="48">
        <v>488680.48236705124</v>
      </c>
      <c r="G30" s="48">
        <v>498551.82811086567</v>
      </c>
      <c r="H30" s="48">
        <v>508622.57503870514</v>
      </c>
      <c r="I30" s="48">
        <v>518896.75105448696</v>
      </c>
      <c r="J30" s="48">
        <v>529378.46542578761</v>
      </c>
      <c r="K30" s="48">
        <v>540071.9104273885</v>
      </c>
      <c r="L30" s="48">
        <v>550981.3630180218</v>
      </c>
      <c r="M30" s="48">
        <v>562111.18655098579</v>
      </c>
      <c r="N30" s="60">
        <f t="shared" si="7"/>
        <v>5914384.6376492931</v>
      </c>
    </row>
    <row r="31" spans="1:14" x14ac:dyDescent="0.2">
      <c r="A31" s="2" t="s">
        <v>22</v>
      </c>
      <c r="B31" s="47">
        <f>'Answer Key'!B31*0.95</f>
        <v>123500</v>
      </c>
      <c r="C31" s="47">
        <f>'Answer Key'!C31*0.95</f>
        <v>152000</v>
      </c>
      <c r="D31" s="47">
        <f>'Answer Key'!D31*0.95</f>
        <v>180500</v>
      </c>
      <c r="E31" s="48">
        <v>193838</v>
      </c>
      <c r="F31" s="48">
        <v>197753.5276</v>
      </c>
      <c r="G31" s="48">
        <v>201748.14885751999</v>
      </c>
      <c r="H31" s="48">
        <v>205823.46146444191</v>
      </c>
      <c r="I31" s="48">
        <v>209981.09538602363</v>
      </c>
      <c r="J31" s="48">
        <v>214222.7135128213</v>
      </c>
      <c r="K31" s="48">
        <v>218550.01232578029</v>
      </c>
      <c r="L31" s="48">
        <v>222964.72257476105</v>
      </c>
      <c r="M31" s="48">
        <v>227468.60997077121</v>
      </c>
      <c r="N31" s="60">
        <f t="shared" si="7"/>
        <v>2348350.2916921196</v>
      </c>
    </row>
    <row r="32" spans="1:14" x14ac:dyDescent="0.2">
      <c r="A32" s="2" t="s">
        <v>23</v>
      </c>
      <c r="B32" s="47">
        <f>'Answer Key'!B32*0.95</f>
        <v>16150.949999999999</v>
      </c>
      <c r="C32" s="47">
        <f>'Answer Key'!C32*0.95</f>
        <v>17945.5</v>
      </c>
      <c r="D32" s="47">
        <f>'Answer Key'!D32*0.95</f>
        <v>19201.685000000001</v>
      </c>
      <c r="E32" s="48">
        <v>20620.588460000003</v>
      </c>
      <c r="F32" s="48">
        <v>21037.124346892004</v>
      </c>
      <c r="G32" s="48">
        <v>21462.074258699224</v>
      </c>
      <c r="H32" s="48">
        <v>21895.608158724946</v>
      </c>
      <c r="I32" s="48">
        <v>22337.899443531191</v>
      </c>
      <c r="J32" s="48">
        <v>22789.125012290522</v>
      </c>
      <c r="K32" s="48">
        <v>23249.46533753879</v>
      </c>
      <c r="L32" s="48">
        <v>23719.104537357074</v>
      </c>
      <c r="M32" s="48">
        <v>24198.230449011688</v>
      </c>
      <c r="N32" s="60">
        <f t="shared" si="7"/>
        <v>254607.35500404544</v>
      </c>
    </row>
    <row r="33" spans="1:14" x14ac:dyDescent="0.2">
      <c r="A33" s="2" t="s">
        <v>24</v>
      </c>
      <c r="B33" s="47">
        <f>'Answer Key'!B33*0.95</f>
        <v>52633.799999999996</v>
      </c>
      <c r="C33" s="47">
        <f>'Answer Key'!C33*0.95</f>
        <v>58482</v>
      </c>
      <c r="D33" s="47">
        <f>'Answer Key'!D33*0.95</f>
        <v>62575.739999999991</v>
      </c>
      <c r="E33" s="48">
        <v>67199.757839999991</v>
      </c>
      <c r="F33" s="48">
        <v>68557.192948367985</v>
      </c>
      <c r="G33" s="48">
        <v>69942.04824592502</v>
      </c>
      <c r="H33" s="48">
        <v>71354.877620492698</v>
      </c>
      <c r="I33" s="48">
        <v>72796.246148426653</v>
      </c>
      <c r="J33" s="48">
        <v>74266.730320624876</v>
      </c>
      <c r="K33" s="48">
        <v>75766.918273101503</v>
      </c>
      <c r="L33" s="48">
        <v>77297.410022218159</v>
      </c>
      <c r="M33" s="48">
        <v>78858.817704666959</v>
      </c>
      <c r="N33" s="60">
        <f t="shared" si="7"/>
        <v>829731.53912382387</v>
      </c>
    </row>
    <row r="34" spans="1:14" x14ac:dyDescent="0.2">
      <c r="A34" s="2" t="s">
        <v>25</v>
      </c>
      <c r="B34" s="47">
        <f>'Answer Key'!B34*0.95</f>
        <v>7005.0149999999994</v>
      </c>
      <c r="C34" s="47">
        <f>'Answer Key'!C34*0.95</f>
        <v>7783.3499999999995</v>
      </c>
      <c r="D34" s="47">
        <f>'Answer Key'!D34*0.95</f>
        <v>8328.1844999999994</v>
      </c>
      <c r="E34" s="48">
        <v>8943.5935019999997</v>
      </c>
      <c r="F34" s="48">
        <v>9124.2540907404</v>
      </c>
      <c r="G34" s="48">
        <v>9308.5640233733557</v>
      </c>
      <c r="H34" s="48">
        <v>9496.5970166454972</v>
      </c>
      <c r="I34" s="48">
        <v>9688.4282763817355</v>
      </c>
      <c r="J34" s="48">
        <v>9884.1345275646472</v>
      </c>
      <c r="K34" s="48">
        <v>10083.794045021454</v>
      </c>
      <c r="L34" s="48">
        <v>10287.486684730888</v>
      </c>
      <c r="M34" s="48">
        <v>10495.293915762451</v>
      </c>
      <c r="N34" s="60">
        <f t="shared" si="7"/>
        <v>110428.69558222042</v>
      </c>
    </row>
    <row r="35" spans="1:14" x14ac:dyDescent="0.2">
      <c r="A35" s="2" t="s">
        <v>26</v>
      </c>
      <c r="B35" s="47">
        <f>'Answer Key'!B35*0.95</f>
        <v>12388.949999999999</v>
      </c>
      <c r="C35" s="47">
        <f>'Answer Key'!C35*0.95</f>
        <v>13765.5</v>
      </c>
      <c r="D35" s="47">
        <f>'Answer Key'!D35*0.95</f>
        <v>14729.085000000001</v>
      </c>
      <c r="E35" s="48">
        <v>15817.486860000001</v>
      </c>
      <c r="F35" s="48">
        <v>16137.000094572</v>
      </c>
      <c r="G35" s="48">
        <v>16462.967496482353</v>
      </c>
      <c r="H35" s="48">
        <v>16795.519439911295</v>
      </c>
      <c r="I35" s="48">
        <v>17134.788932597505</v>
      </c>
      <c r="J35" s="48">
        <v>17480.911669035973</v>
      </c>
      <c r="K35" s="48">
        <v>17834.026084750501</v>
      </c>
      <c r="L35" s="48">
        <v>18194.273411662463</v>
      </c>
      <c r="M35" s="48">
        <v>18561.797734578045</v>
      </c>
      <c r="N35" s="60">
        <f t="shared" si="7"/>
        <v>195302.30672359013</v>
      </c>
    </row>
    <row r="36" spans="1:14" x14ac:dyDescent="0.2">
      <c r="A36" s="2" t="s">
        <v>27</v>
      </c>
      <c r="B36" s="47">
        <f>'Answer Key'!B36*0.95</f>
        <v>33739.667999999998</v>
      </c>
      <c r="C36" s="47">
        <f>'Answer Key'!C36*0.95</f>
        <v>37488.519999999997</v>
      </c>
      <c r="D36" s="47">
        <f>'Answer Key'!D36*0.95</f>
        <v>40112.716400000005</v>
      </c>
      <c r="E36" s="48">
        <v>43076.835022400002</v>
      </c>
      <c r="F36" s="48">
        <v>43946.987089852482</v>
      </c>
      <c r="G36" s="48">
        <v>44834.716229067504</v>
      </c>
      <c r="H36" s="48">
        <v>45740.377496894667</v>
      </c>
      <c r="I36" s="48">
        <v>46664.33312233194</v>
      </c>
      <c r="J36" s="48">
        <v>47606.952651403044</v>
      </c>
      <c r="K36" s="48">
        <v>48568.613094961387</v>
      </c>
      <c r="L36" s="48">
        <v>49549.699079479607</v>
      </c>
      <c r="M36" s="48">
        <v>50550.603000885094</v>
      </c>
      <c r="N36" s="60">
        <f t="shared" si="7"/>
        <v>531880.02118727576</v>
      </c>
    </row>
    <row r="37" spans="1:14" x14ac:dyDescent="0.2">
      <c r="A37" s="2" t="s">
        <v>28</v>
      </c>
      <c r="B37" s="47">
        <f>'Answer Key'!B37*0.95</f>
        <v>171000</v>
      </c>
      <c r="C37" s="47">
        <f>'Answer Key'!C37*0.95</f>
        <v>190000</v>
      </c>
      <c r="D37" s="47">
        <f>'Answer Key'!D37*0.95</f>
        <v>203300</v>
      </c>
      <c r="E37" s="48">
        <v>218322.8</v>
      </c>
      <c r="F37" s="48">
        <v>222732.92056</v>
      </c>
      <c r="G37" s="48">
        <v>227232.125555312</v>
      </c>
      <c r="H37" s="48">
        <v>231822.2144915293</v>
      </c>
      <c r="I37" s="48">
        <v>236505.02322425818</v>
      </c>
      <c r="J37" s="48">
        <v>241282.4246933882</v>
      </c>
      <c r="K37" s="48">
        <v>246156.32967219464</v>
      </c>
      <c r="L37" s="48">
        <v>251128.68753157297</v>
      </c>
      <c r="M37" s="48">
        <v>256201.48701971074</v>
      </c>
      <c r="N37" s="60">
        <f t="shared" si="7"/>
        <v>2695684.0127479658</v>
      </c>
    </row>
    <row r="38" spans="1:14" x14ac:dyDescent="0.2">
      <c r="A38" s="2" t="s">
        <v>29</v>
      </c>
      <c r="B38" s="49">
        <f>((((((((((B27)+(B28))+(B29))+(B30))+(B31))+(B32))+(B33))+(B34))+(B35))+(B36))+(B37)</f>
        <v>4726013.9059999995</v>
      </c>
      <c r="C38" s="49">
        <f>SUM(C28:C37)</f>
        <v>5265904.3399999989</v>
      </c>
      <c r="D38" s="49">
        <f>SUM(D28:D37)</f>
        <v>5652377.6438000007</v>
      </c>
      <c r="E38" s="49">
        <f t="shared" ref="E38:N38" si="8">SUM(E28:E37)</f>
        <v>6070058.6023207996</v>
      </c>
      <c r="F38" s="49">
        <f t="shared" si="8"/>
        <v>6192673.7860876806</v>
      </c>
      <c r="G38" s="49">
        <f t="shared" si="8"/>
        <v>6317765.7965666512</v>
      </c>
      <c r="H38" s="49">
        <f t="shared" si="8"/>
        <v>6445384.6656572986</v>
      </c>
      <c r="I38" s="49">
        <f t="shared" si="8"/>
        <v>6575581.4359035743</v>
      </c>
      <c r="J38" s="49">
        <f t="shared" si="8"/>
        <v>6708408.1809088271</v>
      </c>
      <c r="K38" s="49">
        <f t="shared" si="8"/>
        <v>6843918.0261631869</v>
      </c>
      <c r="L38" s="49">
        <f t="shared" si="8"/>
        <v>6982165.1702916808</v>
      </c>
      <c r="M38" s="49">
        <f t="shared" si="8"/>
        <v>7123204.9067315739</v>
      </c>
      <c r="N38" s="49">
        <f t="shared" si="8"/>
        <v>74903456.460431278</v>
      </c>
    </row>
    <row r="39" spans="1:14" x14ac:dyDescent="0.2">
      <c r="A39" s="2" t="s">
        <v>30</v>
      </c>
      <c r="B39" s="50"/>
      <c r="C39" s="48"/>
    </row>
    <row r="40" spans="1:14" x14ac:dyDescent="0.2">
      <c r="A40" s="2" t="s">
        <v>31</v>
      </c>
      <c r="B40" s="47">
        <f>'Answer Key'!B40*1.04</f>
        <v>11232</v>
      </c>
      <c r="C40" s="47">
        <f>'Answer Key'!C40*1.04</f>
        <v>12480</v>
      </c>
      <c r="D40" s="47">
        <f>'Answer Key'!D40*1.04</f>
        <v>13353.6</v>
      </c>
      <c r="E40" s="48">
        <v>13482</v>
      </c>
      <c r="F40" s="48">
        <v>14156.1</v>
      </c>
      <c r="G40" s="48">
        <v>14863.905000000001</v>
      </c>
      <c r="H40" s="48">
        <v>15607.100250000001</v>
      </c>
      <c r="I40" s="48">
        <v>16387.455262500003</v>
      </c>
      <c r="J40" s="48">
        <v>17206.828025625004</v>
      </c>
      <c r="K40" s="48">
        <v>18067.169426906254</v>
      </c>
      <c r="L40" s="48">
        <v>18970.527898251567</v>
      </c>
      <c r="M40" s="48">
        <v>19919.054293164147</v>
      </c>
      <c r="N40" s="60">
        <f t="shared" ref="N40:N41" si="9">SUM(B40:M40)</f>
        <v>185725.74015644696</v>
      </c>
    </row>
    <row r="41" spans="1:14" x14ac:dyDescent="0.2">
      <c r="A41" s="2" t="s">
        <v>32</v>
      </c>
      <c r="B41" s="47">
        <f>'Answer Key'!B41*1.04</f>
        <v>73008</v>
      </c>
      <c r="C41" s="47">
        <f>'Answer Key'!C41*1.04</f>
        <v>81120</v>
      </c>
      <c r="D41" s="47">
        <f>'Answer Key'!D41*1.04</f>
        <v>86798.400000000009</v>
      </c>
      <c r="E41" s="48">
        <v>87633</v>
      </c>
      <c r="F41" s="48">
        <v>92014.650000000009</v>
      </c>
      <c r="G41" s="48">
        <v>96615.382500000007</v>
      </c>
      <c r="H41" s="48">
        <v>101446.15162500001</v>
      </c>
      <c r="I41" s="48">
        <v>106518.45920625002</v>
      </c>
      <c r="J41" s="48">
        <v>111844.38216656251</v>
      </c>
      <c r="K41" s="48">
        <v>117436.60127489065</v>
      </c>
      <c r="L41" s="48">
        <v>123308.43133863519</v>
      </c>
      <c r="M41" s="48">
        <v>129473.85290556695</v>
      </c>
      <c r="N41" s="60">
        <f t="shared" si="9"/>
        <v>1207217.3110169056</v>
      </c>
    </row>
    <row r="42" spans="1:14" x14ac:dyDescent="0.2">
      <c r="A42" s="2" t="s">
        <v>33</v>
      </c>
      <c r="B42" s="49">
        <f>((B39)+(B40))+(B41)</f>
        <v>84240</v>
      </c>
      <c r="C42" s="49">
        <f>SUM(C40:C41)</f>
        <v>93600</v>
      </c>
      <c r="D42" s="49">
        <f>SUM(D40:D41)</f>
        <v>100152.00000000001</v>
      </c>
      <c r="E42" s="49">
        <f t="shared" ref="E42:N42" si="10">SUM(E40:E41)</f>
        <v>101115</v>
      </c>
      <c r="F42" s="49">
        <f t="shared" si="10"/>
        <v>106170.75000000001</v>
      </c>
      <c r="G42" s="49">
        <f t="shared" si="10"/>
        <v>111479.28750000001</v>
      </c>
      <c r="H42" s="49">
        <f t="shared" si="10"/>
        <v>117053.25187500002</v>
      </c>
      <c r="I42" s="49">
        <f t="shared" si="10"/>
        <v>122905.91446875002</v>
      </c>
      <c r="J42" s="49">
        <f t="shared" si="10"/>
        <v>129051.21019218751</v>
      </c>
      <c r="K42" s="49">
        <f t="shared" si="10"/>
        <v>135503.77070179689</v>
      </c>
      <c r="L42" s="49">
        <f t="shared" si="10"/>
        <v>142278.95923688676</v>
      </c>
      <c r="M42" s="49">
        <f t="shared" si="10"/>
        <v>149392.90719873109</v>
      </c>
      <c r="N42" s="49">
        <f t="shared" si="10"/>
        <v>1392943.0511733526</v>
      </c>
    </row>
    <row r="43" spans="1:14" x14ac:dyDescent="0.2">
      <c r="A43" s="2" t="s">
        <v>34</v>
      </c>
      <c r="B43" s="50"/>
      <c r="C43" s="48"/>
    </row>
    <row r="44" spans="1:14" x14ac:dyDescent="0.2">
      <c r="A44" s="2" t="s">
        <v>35</v>
      </c>
      <c r="B44" s="47">
        <v>180000</v>
      </c>
      <c r="C44" s="47">
        <v>180000</v>
      </c>
      <c r="D44" s="47">
        <v>180000</v>
      </c>
      <c r="E44" s="48">
        <v>196452</v>
      </c>
      <c r="F44" s="48">
        <v>200381.04</v>
      </c>
      <c r="G44" s="48">
        <v>204388.66080000001</v>
      </c>
      <c r="H44" s="48">
        <v>208476.43401600001</v>
      </c>
      <c r="I44" s="48">
        <v>212645.96269632003</v>
      </c>
      <c r="J44" s="48">
        <v>216898.88195024643</v>
      </c>
      <c r="K44" s="48">
        <v>221236.85958925137</v>
      </c>
      <c r="L44" s="48">
        <v>225661.59678103641</v>
      </c>
      <c r="M44" s="48">
        <v>230174.82871665715</v>
      </c>
      <c r="N44" s="60">
        <f t="shared" ref="N44:N45" si="11">SUM(B44:M44)</f>
        <v>2456316.2645495115</v>
      </c>
    </row>
    <row r="45" spans="1:14" x14ac:dyDescent="0.2">
      <c r="A45" s="2" t="s">
        <v>36</v>
      </c>
      <c r="B45" s="47">
        <f>'Answer Key'!B45*1.04</f>
        <v>10108.800000000001</v>
      </c>
      <c r="C45" s="47">
        <f>'Answer Key'!C45*1.04</f>
        <v>11232</v>
      </c>
      <c r="D45" s="47">
        <f>'Answer Key'!D45*1.04</f>
        <v>12018.24</v>
      </c>
      <c r="E45" s="48">
        <v>11787.12</v>
      </c>
      <c r="F45" s="48">
        <v>12022.862400000002</v>
      </c>
      <c r="G45" s="48">
        <v>12263.319648000002</v>
      </c>
      <c r="H45" s="48">
        <v>12508.586040960003</v>
      </c>
      <c r="I45" s="48">
        <v>12758.757761779203</v>
      </c>
      <c r="J45" s="48">
        <v>13013.932917014787</v>
      </c>
      <c r="K45" s="48">
        <v>13274.211575355082</v>
      </c>
      <c r="L45" s="48">
        <v>13539.695806862184</v>
      </c>
      <c r="M45" s="48">
        <v>13810.489722999428</v>
      </c>
      <c r="N45" s="60">
        <f t="shared" si="11"/>
        <v>148338.01587297066</v>
      </c>
    </row>
    <row r="46" spans="1:14" x14ac:dyDescent="0.2">
      <c r="A46" s="2" t="s">
        <v>37</v>
      </c>
      <c r="B46" s="49">
        <f>((B43)+(B44))+(B45)</f>
        <v>190108.79999999999</v>
      </c>
      <c r="C46" s="49">
        <f>SUM(C44:C45)</f>
        <v>191232</v>
      </c>
      <c r="D46" s="49">
        <f>SUM(D44:D45)</f>
        <v>192018.24</v>
      </c>
      <c r="E46" s="49">
        <f t="shared" ref="E46:N46" si="12">SUM(E44:E45)</f>
        <v>208239.12</v>
      </c>
      <c r="F46" s="49">
        <f t="shared" si="12"/>
        <v>212403.90240000002</v>
      </c>
      <c r="G46" s="49">
        <f t="shared" si="12"/>
        <v>216651.98044800002</v>
      </c>
      <c r="H46" s="49">
        <f t="shared" si="12"/>
        <v>220985.02005696003</v>
      </c>
      <c r="I46" s="49">
        <f t="shared" si="12"/>
        <v>225404.72045809924</v>
      </c>
      <c r="J46" s="49">
        <f t="shared" si="12"/>
        <v>229912.81486726122</v>
      </c>
      <c r="K46" s="49">
        <f t="shared" si="12"/>
        <v>234511.07116460646</v>
      </c>
      <c r="L46" s="49">
        <f t="shared" si="12"/>
        <v>239201.29258789858</v>
      </c>
      <c r="M46" s="49">
        <f t="shared" si="12"/>
        <v>243985.31843965658</v>
      </c>
      <c r="N46" s="49">
        <f t="shared" si="12"/>
        <v>2604654.2804224822</v>
      </c>
    </row>
    <row r="47" spans="1:14" x14ac:dyDescent="0.2">
      <c r="A47" s="2" t="s">
        <v>38</v>
      </c>
      <c r="B47" s="50"/>
      <c r="C47" s="48"/>
    </row>
    <row r="48" spans="1:14" x14ac:dyDescent="0.2">
      <c r="A48" s="2" t="s">
        <v>39</v>
      </c>
      <c r="B48" s="47">
        <v>55080</v>
      </c>
      <c r="C48" s="47">
        <v>61200</v>
      </c>
      <c r="D48" s="47">
        <v>65484.000000000007</v>
      </c>
      <c r="E48" s="48">
        <f t="shared" ref="D48:M48" si="13">D48*1.07</f>
        <v>70067.88</v>
      </c>
      <c r="F48" s="48">
        <f t="shared" si="13"/>
        <v>74972.631600000008</v>
      </c>
      <c r="G48" s="48">
        <f t="shared" si="13"/>
        <v>80220.715812000009</v>
      </c>
      <c r="H48" s="48">
        <f t="shared" si="13"/>
        <v>85836.165918840008</v>
      </c>
      <c r="I48" s="48">
        <f t="shared" si="13"/>
        <v>91844.697533158818</v>
      </c>
      <c r="J48" s="48">
        <f t="shared" si="13"/>
        <v>98273.826360479943</v>
      </c>
      <c r="K48" s="48">
        <f t="shared" si="13"/>
        <v>105152.99420571355</v>
      </c>
      <c r="L48" s="48">
        <f t="shared" si="13"/>
        <v>112513.70380011351</v>
      </c>
      <c r="M48" s="48">
        <f t="shared" si="13"/>
        <v>120389.66306612146</v>
      </c>
      <c r="N48" s="60">
        <f>SUM(B48:M48)</f>
        <v>1021036.2782964273</v>
      </c>
    </row>
    <row r="49" spans="1:14" x14ac:dyDescent="0.2">
      <c r="A49" s="2" t="s">
        <v>40</v>
      </c>
      <c r="B49" s="49">
        <f>(B47)+(B48)</f>
        <v>55080</v>
      </c>
      <c r="C49" s="49">
        <f>SUM(C48)</f>
        <v>61200</v>
      </c>
      <c r="D49" s="49">
        <f>SUM(D48)</f>
        <v>65484.000000000007</v>
      </c>
      <c r="E49" s="49">
        <f t="shared" ref="E49:N49" si="14">SUM(E48)</f>
        <v>70067.88</v>
      </c>
      <c r="F49" s="49">
        <f t="shared" si="14"/>
        <v>74972.631600000008</v>
      </c>
      <c r="G49" s="49">
        <f t="shared" si="14"/>
        <v>80220.715812000009</v>
      </c>
      <c r="H49" s="49">
        <f t="shared" si="14"/>
        <v>85836.165918840008</v>
      </c>
      <c r="I49" s="49">
        <f t="shared" si="14"/>
        <v>91844.697533158818</v>
      </c>
      <c r="J49" s="49">
        <f t="shared" si="14"/>
        <v>98273.826360479943</v>
      </c>
      <c r="K49" s="49">
        <f t="shared" si="14"/>
        <v>105152.99420571355</v>
      </c>
      <c r="L49" s="49">
        <f t="shared" si="14"/>
        <v>112513.70380011351</v>
      </c>
      <c r="M49" s="49">
        <f t="shared" si="14"/>
        <v>120389.66306612146</v>
      </c>
      <c r="N49" s="49">
        <f t="shared" si="14"/>
        <v>1021036.2782964273</v>
      </c>
    </row>
    <row r="50" spans="1:14" x14ac:dyDescent="0.2">
      <c r="A50" s="2" t="s">
        <v>41</v>
      </c>
      <c r="B50" s="50"/>
      <c r="C50" s="48"/>
    </row>
    <row r="51" spans="1:14" x14ac:dyDescent="0.2">
      <c r="A51" s="2" t="s">
        <v>42</v>
      </c>
      <c r="B51" s="47">
        <v>90000</v>
      </c>
      <c r="C51" s="48">
        <v>100000</v>
      </c>
      <c r="D51" s="48">
        <v>107000</v>
      </c>
      <c r="E51" s="48">
        <v>107000</v>
      </c>
      <c r="F51" s="48">
        <v>107000</v>
      </c>
      <c r="G51" s="48">
        <v>107000</v>
      </c>
      <c r="H51" s="48">
        <v>107000</v>
      </c>
      <c r="I51" s="48">
        <v>107000</v>
      </c>
      <c r="J51" s="48">
        <v>107000</v>
      </c>
      <c r="K51" s="48">
        <v>107000</v>
      </c>
      <c r="L51" s="48">
        <v>107000</v>
      </c>
      <c r="M51" s="48">
        <v>107000</v>
      </c>
      <c r="N51" s="60">
        <f t="shared" ref="N51:N52" si="15">SUM(B51:M51)</f>
        <v>1260000</v>
      </c>
    </row>
    <row r="52" spans="1:14" x14ac:dyDescent="0.2">
      <c r="A52" s="2" t="s">
        <v>43</v>
      </c>
      <c r="B52" s="47">
        <v>216000</v>
      </c>
      <c r="C52" s="48">
        <v>240000</v>
      </c>
      <c r="D52" s="48">
        <v>256800.00000000003</v>
      </c>
      <c r="E52" s="48">
        <v>256800.00000000003</v>
      </c>
      <c r="F52" s="48">
        <v>256800.00000000003</v>
      </c>
      <c r="G52" s="48">
        <v>256800.00000000003</v>
      </c>
      <c r="H52" s="48">
        <v>256800.00000000003</v>
      </c>
      <c r="I52" s="48">
        <v>256800.00000000003</v>
      </c>
      <c r="J52" s="48">
        <v>256800.00000000003</v>
      </c>
      <c r="K52" s="48">
        <v>256800.00000000003</v>
      </c>
      <c r="L52" s="48">
        <v>256800.00000000003</v>
      </c>
      <c r="M52" s="48">
        <v>256800.00000000003</v>
      </c>
      <c r="N52" s="60">
        <f t="shared" si="15"/>
        <v>3024000</v>
      </c>
    </row>
    <row r="53" spans="1:14" x14ac:dyDescent="0.2">
      <c r="A53" s="2" t="s">
        <v>44</v>
      </c>
      <c r="B53" s="49">
        <f>((B50)+(B51))+(B52)</f>
        <v>306000</v>
      </c>
      <c r="C53" s="49">
        <f>SUM(C51:C52)</f>
        <v>340000</v>
      </c>
      <c r="D53" s="49">
        <f>SUM(D51:D52)</f>
        <v>363800</v>
      </c>
      <c r="E53" s="49">
        <f t="shared" ref="E53:N53" si="16">SUM(E51:E52)</f>
        <v>363800</v>
      </c>
      <c r="F53" s="49">
        <f t="shared" si="16"/>
        <v>363800</v>
      </c>
      <c r="G53" s="49">
        <f t="shared" si="16"/>
        <v>363800</v>
      </c>
      <c r="H53" s="49">
        <f t="shared" si="16"/>
        <v>363800</v>
      </c>
      <c r="I53" s="49">
        <f t="shared" si="16"/>
        <v>363800</v>
      </c>
      <c r="J53" s="49">
        <f t="shared" si="16"/>
        <v>363800</v>
      </c>
      <c r="K53" s="49">
        <f t="shared" si="16"/>
        <v>363800</v>
      </c>
      <c r="L53" s="49">
        <f t="shared" si="16"/>
        <v>363800</v>
      </c>
      <c r="M53" s="49">
        <f t="shared" si="16"/>
        <v>363800</v>
      </c>
      <c r="N53" s="49">
        <f t="shared" si="16"/>
        <v>4284000</v>
      </c>
    </row>
    <row r="54" spans="1:14" x14ac:dyDescent="0.2">
      <c r="A54" s="2" t="s">
        <v>45</v>
      </c>
      <c r="B54" s="50"/>
      <c r="C54" s="48"/>
    </row>
    <row r="55" spans="1:14" x14ac:dyDescent="0.2">
      <c r="A55" s="2" t="s">
        <v>46</v>
      </c>
      <c r="B55" s="47">
        <v>458330</v>
      </c>
      <c r="C55" s="48">
        <v>458330</v>
      </c>
      <c r="D55" s="48">
        <v>458330</v>
      </c>
      <c r="E55" s="48">
        <v>458330</v>
      </c>
      <c r="F55" s="48">
        <v>458330</v>
      </c>
      <c r="G55" s="48">
        <v>458330</v>
      </c>
      <c r="H55" s="48">
        <v>458330</v>
      </c>
      <c r="I55" s="48">
        <v>458330</v>
      </c>
      <c r="J55" s="48">
        <v>458330</v>
      </c>
      <c r="K55" s="48">
        <v>458330</v>
      </c>
      <c r="L55" s="48">
        <v>458330</v>
      </c>
      <c r="M55" s="48">
        <v>458330</v>
      </c>
      <c r="N55" s="60">
        <f t="shared" ref="N55:N58" si="17">SUM(B55:M55)</f>
        <v>5499960</v>
      </c>
    </row>
    <row r="56" spans="1:14" x14ac:dyDescent="0.2">
      <c r="A56" s="2" t="s">
        <v>47</v>
      </c>
      <c r="B56" s="47">
        <v>16200</v>
      </c>
      <c r="C56" s="48">
        <v>18000</v>
      </c>
      <c r="D56" s="48">
        <v>18360</v>
      </c>
      <c r="E56" s="48">
        <v>18727.2</v>
      </c>
      <c r="F56" s="48">
        <v>19101.744000000002</v>
      </c>
      <c r="G56" s="48">
        <v>19483.778880000002</v>
      </c>
      <c r="H56" s="48">
        <v>19873.454457600001</v>
      </c>
      <c r="I56" s="48">
        <v>20270.923546752001</v>
      </c>
      <c r="J56" s="48">
        <v>20676.342017687042</v>
      </c>
      <c r="K56" s="48">
        <v>21089.868858040783</v>
      </c>
      <c r="L56" s="48">
        <v>21511.666235201599</v>
      </c>
      <c r="M56" s="48">
        <v>21941.899559905632</v>
      </c>
      <c r="N56" s="60">
        <f t="shared" si="17"/>
        <v>235236.87755518703</v>
      </c>
    </row>
    <row r="57" spans="1:14" x14ac:dyDescent="0.2">
      <c r="A57" s="2" t="s">
        <v>48</v>
      </c>
      <c r="B57" s="47">
        <v>1503</v>
      </c>
      <c r="C57" s="48">
        <v>1670</v>
      </c>
      <c r="D57" s="48">
        <v>1753.5</v>
      </c>
      <c r="E57" s="48">
        <v>1841.1750000000002</v>
      </c>
      <c r="F57" s="48">
        <v>1933.2337500000003</v>
      </c>
      <c r="G57" s="48">
        <v>2029.8954375000005</v>
      </c>
      <c r="H57" s="48">
        <v>2131.3902093750007</v>
      </c>
      <c r="I57" s="48">
        <v>2237.9597198437509</v>
      </c>
      <c r="J57" s="48">
        <v>2349.8577058359388</v>
      </c>
      <c r="K57" s="48">
        <v>2467.3505911277357</v>
      </c>
      <c r="L57" s="48">
        <v>2590.7181206841224</v>
      </c>
      <c r="M57" s="48">
        <v>2720.2540267183285</v>
      </c>
      <c r="N57" s="60">
        <f t="shared" si="17"/>
        <v>25228.334561084877</v>
      </c>
    </row>
    <row r="58" spans="1:14" x14ac:dyDescent="0.2">
      <c r="A58" s="2" t="s">
        <v>49</v>
      </c>
      <c r="B58" s="47">
        <v>50319.180000000008</v>
      </c>
      <c r="C58" s="48">
        <v>55910.200000000004</v>
      </c>
      <c r="D58" s="48">
        <v>58705.710000000006</v>
      </c>
      <c r="E58" s="48">
        <v>61640.995500000012</v>
      </c>
      <c r="F58" s="48">
        <v>64723.045275000019</v>
      </c>
      <c r="G58" s="48">
        <v>65370.27572775002</v>
      </c>
      <c r="H58" s="48">
        <v>68638.789514137519</v>
      </c>
      <c r="I58" s="48">
        <v>72070.7289898444</v>
      </c>
      <c r="J58" s="48">
        <v>75674.265439336625</v>
      </c>
      <c r="K58" s="48">
        <v>79457.978711303454</v>
      </c>
      <c r="L58" s="48">
        <v>83430.877646868626</v>
      </c>
      <c r="M58" s="48">
        <v>87602.421529212064</v>
      </c>
      <c r="N58" s="60">
        <f t="shared" si="17"/>
        <v>823544.46833345271</v>
      </c>
    </row>
    <row r="59" spans="1:14" x14ac:dyDescent="0.2">
      <c r="A59" s="2" t="s">
        <v>50</v>
      </c>
      <c r="B59" s="49">
        <f>((((B54)+(B55))+(B56))+(B57))+(B58)</f>
        <v>526352.18000000005</v>
      </c>
      <c r="C59" s="49">
        <f>((((C54)+(C55))+(C56))+(C57))+(C58)</f>
        <v>533910.19999999995</v>
      </c>
      <c r="D59" s="49">
        <f>((((D54)+(D55))+(D56))+(D57))+(D58)</f>
        <v>537149.21</v>
      </c>
      <c r="E59" s="49">
        <f t="shared" ref="E59:N59" si="18">((((E54)+(E55))+(E56))+(E57))+(E58)</f>
        <v>540539.37049999996</v>
      </c>
      <c r="F59" s="49">
        <f t="shared" si="18"/>
        <v>544088.023025</v>
      </c>
      <c r="G59" s="49">
        <f t="shared" si="18"/>
        <v>545213.95004525001</v>
      </c>
      <c r="H59" s="49">
        <f t="shared" si="18"/>
        <v>548973.63418111252</v>
      </c>
      <c r="I59" s="49">
        <f t="shared" si="18"/>
        <v>552909.61225644022</v>
      </c>
      <c r="J59" s="49">
        <f t="shared" si="18"/>
        <v>557030.46516285965</v>
      </c>
      <c r="K59" s="49">
        <f t="shared" si="18"/>
        <v>561345.19816047198</v>
      </c>
      <c r="L59" s="49">
        <f t="shared" si="18"/>
        <v>565863.26200275437</v>
      </c>
      <c r="M59" s="49">
        <f t="shared" si="18"/>
        <v>570594.57511583599</v>
      </c>
      <c r="N59" s="49">
        <f t="shared" si="18"/>
        <v>6583969.6804497251</v>
      </c>
    </row>
    <row r="60" spans="1:14" x14ac:dyDescent="0.2">
      <c r="A60" s="2" t="s">
        <v>51</v>
      </c>
      <c r="B60" s="49">
        <f>(((((B38)+(B42))+(B46))+(B49))+(B53))+(B59)</f>
        <v>5887794.885999999</v>
      </c>
      <c r="C60" s="49">
        <f>(((((C38)+(C42))+(C46))+(C49))+(C53))+(C59)</f>
        <v>6485846.5399999991</v>
      </c>
      <c r="D60" s="49">
        <f>(((((D38)+(D42))+(D46))+(D49))+(D53))+(D59)</f>
        <v>6910981.0938000008</v>
      </c>
      <c r="E60" s="49">
        <f t="shared" ref="E60:N60" si="19">(((((E38)+(E42))+(E46))+(E49))+(E53))+(E59)</f>
        <v>7353819.9728207998</v>
      </c>
      <c r="F60" s="49">
        <f t="shared" si="19"/>
        <v>7494109.0931126811</v>
      </c>
      <c r="G60" s="49">
        <f t="shared" si="19"/>
        <v>7635131.7303719018</v>
      </c>
      <c r="H60" s="49">
        <f t="shared" si="19"/>
        <v>7782032.737689212</v>
      </c>
      <c r="I60" s="49">
        <f t="shared" si="19"/>
        <v>7932446.3806200232</v>
      </c>
      <c r="J60" s="49">
        <f t="shared" si="19"/>
        <v>8086476.4974916149</v>
      </c>
      <c r="K60" s="49">
        <f t="shared" si="19"/>
        <v>8244231.0603957754</v>
      </c>
      <c r="L60" s="49">
        <f t="shared" si="19"/>
        <v>8405822.3879193347</v>
      </c>
      <c r="M60" s="49">
        <f t="shared" si="19"/>
        <v>8571367.3705519196</v>
      </c>
      <c r="N60" s="49">
        <f t="shared" si="19"/>
        <v>90790059.750773266</v>
      </c>
    </row>
    <row r="61" spans="1:14" x14ac:dyDescent="0.2">
      <c r="A61" s="2" t="s">
        <v>52</v>
      </c>
      <c r="B61" s="49">
        <f>(B25)-(B60)</f>
        <v>-5168004.7354999986</v>
      </c>
      <c r="C61" s="49">
        <f>(C25)-(C60)</f>
        <v>-5864065.0349999992</v>
      </c>
      <c r="D61" s="49">
        <f>(D25)-(D60)</f>
        <v>-5737310.5135500003</v>
      </c>
      <c r="E61" s="49">
        <f t="shared" ref="E61:N61" si="20">(E25)-(E60)</f>
        <v>-5927939.9630707996</v>
      </c>
      <c r="F61" s="49">
        <f t="shared" si="20"/>
        <v>-5844058.582875181</v>
      </c>
      <c r="G61" s="49">
        <f t="shared" si="20"/>
        <v>-5671002.3706225259</v>
      </c>
      <c r="H61" s="49">
        <f t="shared" si="20"/>
        <v>-5465390.2569323666</v>
      </c>
      <c r="I61" s="49">
        <f t="shared" si="20"/>
        <v>-5220489.3189255353</v>
      </c>
      <c r="J61" s="49">
        <f t="shared" si="20"/>
        <v>-4931549.9420650732</v>
      </c>
      <c r="K61" s="49">
        <f t="shared" si="20"/>
        <v>-4593286.6203210466</v>
      </c>
      <c r="L61" s="49">
        <f t="shared" si="20"/>
        <v>-4199818.4812340653</v>
      </c>
      <c r="M61" s="49">
        <f t="shared" si="20"/>
        <v>-3744603.244215874</v>
      </c>
      <c r="N61" s="49">
        <f t="shared" si="20"/>
        <v>-62367519.064312458</v>
      </c>
    </row>
    <row r="62" spans="1:14" x14ac:dyDescent="0.2">
      <c r="A62" s="2" t="s">
        <v>53</v>
      </c>
      <c r="B62" s="51">
        <f>(B61)+(0)</f>
        <v>-5168004.7354999986</v>
      </c>
      <c r="C62" s="51">
        <f>(C61)+(0)</f>
        <v>-5864065.0349999992</v>
      </c>
      <c r="D62" s="51">
        <f>(D61)+(0)</f>
        <v>-5737310.5135500003</v>
      </c>
      <c r="E62" s="51">
        <f t="shared" ref="E62:N62" si="21">(E61)+(0)</f>
        <v>-5927939.9630707996</v>
      </c>
      <c r="F62" s="51">
        <f t="shared" si="21"/>
        <v>-5844058.582875181</v>
      </c>
      <c r="G62" s="51">
        <f t="shared" si="21"/>
        <v>-5671002.3706225259</v>
      </c>
      <c r="H62" s="51">
        <f t="shared" si="21"/>
        <v>-5465390.2569323666</v>
      </c>
      <c r="I62" s="51">
        <f t="shared" si="21"/>
        <v>-5220489.3189255353</v>
      </c>
      <c r="J62" s="51">
        <f t="shared" si="21"/>
        <v>-4931549.9420650732</v>
      </c>
      <c r="K62" s="51">
        <f t="shared" si="21"/>
        <v>-4593286.6203210466</v>
      </c>
      <c r="L62" s="51">
        <f t="shared" si="21"/>
        <v>-4199818.4812340653</v>
      </c>
      <c r="M62" s="51">
        <f t="shared" si="21"/>
        <v>-3744603.244215874</v>
      </c>
      <c r="N62" s="51">
        <f t="shared" si="21"/>
        <v>-62367519.064312458</v>
      </c>
    </row>
    <row r="63" spans="1:14" x14ac:dyDescent="0.2">
      <c r="A63" s="2"/>
      <c r="B63" s="3"/>
    </row>
    <row r="66" spans="1:2" x14ac:dyDescent="0.2">
      <c r="A66" s="61"/>
      <c r="B66" s="62"/>
    </row>
  </sheetData>
  <mergeCells count="4">
    <mergeCell ref="A2:B2"/>
    <mergeCell ref="A3:B3"/>
    <mergeCell ref="A4:B4"/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8EDC-5350-A445-9B91-931ABD083111}">
  <dimension ref="B4:O26"/>
  <sheetViews>
    <sheetView zoomScale="162" workbookViewId="0">
      <selection activeCell="C12" sqref="C12"/>
    </sheetView>
  </sheetViews>
  <sheetFormatPr baseColWidth="10" defaultRowHeight="15" x14ac:dyDescent="0.2"/>
  <cols>
    <col min="1" max="1" width="2.33203125" customWidth="1"/>
    <col min="2" max="2" width="18.5" bestFit="1" customWidth="1"/>
    <col min="3" max="11" width="11.1640625" bestFit="1" customWidth="1"/>
    <col min="12" max="14" width="12.1640625" bestFit="1" customWidth="1"/>
    <col min="15" max="15" width="13.6640625" bestFit="1" customWidth="1"/>
  </cols>
  <sheetData>
    <row r="4" spans="2:14" x14ac:dyDescent="0.2">
      <c r="B4" s="58" t="s">
        <v>81</v>
      </c>
    </row>
    <row r="5" spans="2:14" x14ac:dyDescent="0.2">
      <c r="B5" s="44" t="s">
        <v>112</v>
      </c>
      <c r="C5" s="44">
        <v>45688</v>
      </c>
      <c r="D5" s="44">
        <f>EOMONTH(C5,1)</f>
        <v>45716</v>
      </c>
      <c r="E5" s="44">
        <f t="shared" ref="E5:M5" si="0">EOMONTH(D5,1)</f>
        <v>45747</v>
      </c>
      <c r="F5" s="44">
        <f t="shared" si="0"/>
        <v>45777</v>
      </c>
      <c r="G5" s="44">
        <f t="shared" si="0"/>
        <v>45808</v>
      </c>
      <c r="H5" s="44">
        <f t="shared" si="0"/>
        <v>45838</v>
      </c>
      <c r="I5" s="44">
        <f t="shared" si="0"/>
        <v>45869</v>
      </c>
      <c r="J5" s="44">
        <f t="shared" si="0"/>
        <v>45900</v>
      </c>
      <c r="K5" s="44">
        <f t="shared" si="0"/>
        <v>45930</v>
      </c>
      <c r="L5" s="44">
        <f t="shared" si="0"/>
        <v>45961</v>
      </c>
      <c r="M5" s="44">
        <f t="shared" si="0"/>
        <v>45991</v>
      </c>
      <c r="N5" s="44">
        <f>EOMONTH(M5,1)</f>
        <v>46022</v>
      </c>
    </row>
    <row r="6" spans="2:14" x14ac:dyDescent="0.2">
      <c r="B6" t="s">
        <v>102</v>
      </c>
      <c r="C6" s="46">
        <v>8880</v>
      </c>
      <c r="D6" s="46">
        <v>9412.8000000000011</v>
      </c>
      <c r="E6" s="46">
        <v>9977.5680000000011</v>
      </c>
      <c r="F6" s="46">
        <v>10576.222080000001</v>
      </c>
      <c r="G6" s="46">
        <v>11210.795404800003</v>
      </c>
      <c r="H6" s="46">
        <v>11883.443129088004</v>
      </c>
      <c r="I6" s="46">
        <v>12596.449716833285</v>
      </c>
      <c r="J6" s="46">
        <v>13352.236699843283</v>
      </c>
      <c r="K6" s="46">
        <v>14153.37090183388</v>
      </c>
      <c r="L6" s="46">
        <v>15002.573155943914</v>
      </c>
      <c r="M6" s="46">
        <v>15902.72754530055</v>
      </c>
      <c r="N6" s="46">
        <v>16856.891198018584</v>
      </c>
    </row>
    <row r="7" spans="2:14" x14ac:dyDescent="0.2">
      <c r="B7" t="s">
        <v>103</v>
      </c>
      <c r="C7" s="46">
        <v>3000</v>
      </c>
      <c r="D7" s="46">
        <v>3180</v>
      </c>
      <c r="E7" s="46">
        <v>3370.8</v>
      </c>
      <c r="F7" s="46">
        <v>3573.0480000000002</v>
      </c>
      <c r="G7" s="46">
        <v>3787.4308800000003</v>
      </c>
      <c r="H7" s="46">
        <v>4014.6767328000005</v>
      </c>
      <c r="I7" s="46">
        <v>4255.5573367680008</v>
      </c>
      <c r="J7" s="46">
        <v>4510.8907769740808</v>
      </c>
      <c r="K7" s="46">
        <v>4781.5442235925257</v>
      </c>
      <c r="L7" s="46">
        <v>5068.4368770080773</v>
      </c>
      <c r="M7" s="46">
        <v>5372.5430896285625</v>
      </c>
      <c r="N7" s="46">
        <v>5694.8956750062762</v>
      </c>
    </row>
    <row r="8" spans="2:14" x14ac:dyDescent="0.2">
      <c r="B8" t="s">
        <v>104</v>
      </c>
      <c r="C8" s="46">
        <v>2500</v>
      </c>
      <c r="D8" s="46">
        <v>2500</v>
      </c>
      <c r="E8" s="46">
        <v>2500</v>
      </c>
      <c r="F8" s="46">
        <v>2500</v>
      </c>
      <c r="G8" s="46">
        <v>2500</v>
      </c>
      <c r="H8" s="46">
        <v>2500</v>
      </c>
      <c r="I8" s="46">
        <v>2500</v>
      </c>
      <c r="J8" s="46">
        <v>2500</v>
      </c>
      <c r="K8" s="46">
        <v>2500</v>
      </c>
      <c r="L8" s="46">
        <v>2500</v>
      </c>
      <c r="M8" s="46">
        <v>2500</v>
      </c>
      <c r="N8" s="46">
        <v>2500</v>
      </c>
    </row>
    <row r="9" spans="2:14" x14ac:dyDescent="0.2">
      <c r="B9" t="s">
        <v>105</v>
      </c>
      <c r="C9" s="46">
        <v>3900</v>
      </c>
      <c r="D9" s="46">
        <v>3900</v>
      </c>
      <c r="E9" s="46">
        <v>3900</v>
      </c>
      <c r="F9" s="46">
        <v>3900</v>
      </c>
      <c r="G9" s="46">
        <v>3900</v>
      </c>
      <c r="H9" s="46">
        <v>3900</v>
      </c>
      <c r="I9" s="46">
        <v>3900</v>
      </c>
      <c r="J9" s="46">
        <v>3900</v>
      </c>
      <c r="K9" s="46">
        <v>3900</v>
      </c>
      <c r="L9" s="46">
        <v>3900</v>
      </c>
      <c r="M9" s="46">
        <v>3900</v>
      </c>
      <c r="N9" s="46">
        <v>3900</v>
      </c>
    </row>
    <row r="10" spans="2:14" x14ac:dyDescent="0.2">
      <c r="B10" t="s">
        <v>106</v>
      </c>
      <c r="C10" s="46">
        <v>5900</v>
      </c>
      <c r="D10" s="46">
        <v>5900</v>
      </c>
      <c r="E10" s="46">
        <v>5900</v>
      </c>
      <c r="F10" s="46">
        <v>5900</v>
      </c>
      <c r="G10" s="46">
        <v>5900</v>
      </c>
      <c r="H10" s="46">
        <v>5900</v>
      </c>
      <c r="I10" s="46">
        <v>5900</v>
      </c>
      <c r="J10" s="46">
        <v>5900</v>
      </c>
      <c r="K10" s="46">
        <v>5900</v>
      </c>
      <c r="L10" s="46">
        <v>5900</v>
      </c>
      <c r="M10" s="46">
        <v>5900</v>
      </c>
      <c r="N10" s="46">
        <v>5900</v>
      </c>
    </row>
    <row r="11" spans="2:14" x14ac:dyDescent="0.2">
      <c r="B11" t="s">
        <v>107</v>
      </c>
      <c r="C11" s="46">
        <v>4500</v>
      </c>
      <c r="D11" s="46">
        <v>4500</v>
      </c>
      <c r="E11" s="46">
        <v>4500</v>
      </c>
      <c r="F11" s="46">
        <v>4500</v>
      </c>
      <c r="G11" s="46">
        <v>4500</v>
      </c>
      <c r="H11" s="46">
        <v>4500</v>
      </c>
      <c r="I11" s="46">
        <v>4500</v>
      </c>
      <c r="J11" s="46">
        <v>4500</v>
      </c>
      <c r="K11" s="46">
        <v>4500</v>
      </c>
      <c r="L11" s="46">
        <v>4500</v>
      </c>
      <c r="M11" s="46">
        <v>4500</v>
      </c>
      <c r="N11" s="46">
        <v>4500</v>
      </c>
    </row>
    <row r="12" spans="2:14" x14ac:dyDescent="0.2">
      <c r="B12" t="s">
        <v>108</v>
      </c>
      <c r="C12" s="46">
        <v>4900</v>
      </c>
      <c r="D12" s="46">
        <v>4900</v>
      </c>
      <c r="E12" s="46">
        <v>4900</v>
      </c>
      <c r="F12" s="46">
        <v>4900</v>
      </c>
      <c r="G12" s="46">
        <v>4900</v>
      </c>
      <c r="H12" s="46">
        <v>4900</v>
      </c>
      <c r="I12" s="46">
        <v>4900</v>
      </c>
      <c r="J12" s="46">
        <v>4900</v>
      </c>
      <c r="K12" s="46">
        <v>4900</v>
      </c>
      <c r="L12" s="46">
        <v>4900</v>
      </c>
      <c r="M12" s="46">
        <v>4900</v>
      </c>
      <c r="N12" s="46">
        <v>4900</v>
      </c>
    </row>
    <row r="13" spans="2:14" x14ac:dyDescent="0.2">
      <c r="B13" t="s">
        <v>113</v>
      </c>
      <c r="C13" s="46">
        <v>4000</v>
      </c>
      <c r="D13" s="46">
        <v>4000</v>
      </c>
      <c r="E13" s="46">
        <v>4000</v>
      </c>
      <c r="F13" s="46">
        <v>4000</v>
      </c>
      <c r="G13" s="46">
        <v>4000</v>
      </c>
      <c r="H13" s="46">
        <v>4000</v>
      </c>
      <c r="I13" s="46">
        <v>4000</v>
      </c>
      <c r="J13" s="46">
        <v>4000</v>
      </c>
      <c r="K13" s="46">
        <v>4000</v>
      </c>
      <c r="L13" s="46">
        <v>4000</v>
      </c>
      <c r="M13" s="46">
        <v>4000</v>
      </c>
      <c r="N13" s="46">
        <v>4000</v>
      </c>
    </row>
    <row r="14" spans="2:14" x14ac:dyDescent="0.2">
      <c r="B14" t="s">
        <v>109</v>
      </c>
      <c r="C14" s="46">
        <v>6800</v>
      </c>
      <c r="D14" s="46">
        <v>6800</v>
      </c>
      <c r="E14" s="46">
        <v>6800</v>
      </c>
      <c r="F14" s="46">
        <v>6800</v>
      </c>
      <c r="G14" s="46">
        <v>6800</v>
      </c>
      <c r="H14" s="46">
        <v>6800</v>
      </c>
      <c r="I14" s="46">
        <v>6800</v>
      </c>
      <c r="J14" s="46">
        <v>6800</v>
      </c>
      <c r="K14" s="46">
        <v>6800</v>
      </c>
      <c r="L14" s="46">
        <v>6800</v>
      </c>
      <c r="M14" s="46">
        <v>6800</v>
      </c>
      <c r="N14" s="46">
        <v>6800</v>
      </c>
    </row>
    <row r="15" spans="2:14" x14ac:dyDescent="0.2">
      <c r="B15" t="s">
        <v>110</v>
      </c>
      <c r="C15" s="46">
        <v>6900</v>
      </c>
      <c r="D15" s="46">
        <v>6900</v>
      </c>
      <c r="E15" s="46">
        <v>6900</v>
      </c>
      <c r="F15" s="46">
        <v>6900</v>
      </c>
      <c r="G15" s="46">
        <v>6900</v>
      </c>
      <c r="H15" s="46">
        <v>6900</v>
      </c>
      <c r="I15" s="46">
        <v>6900</v>
      </c>
      <c r="J15" s="46">
        <v>6900</v>
      </c>
      <c r="K15" s="46">
        <v>6900</v>
      </c>
      <c r="L15" s="46">
        <v>6900</v>
      </c>
      <c r="M15" s="46">
        <v>6900</v>
      </c>
      <c r="N15" s="46">
        <v>6900</v>
      </c>
    </row>
    <row r="16" spans="2:14" x14ac:dyDescent="0.2">
      <c r="B16" t="s">
        <v>111</v>
      </c>
      <c r="C16" s="46">
        <v>3800</v>
      </c>
      <c r="D16" s="46">
        <v>3800</v>
      </c>
      <c r="E16" s="46">
        <v>3800</v>
      </c>
      <c r="F16" s="46">
        <v>3800</v>
      </c>
      <c r="G16" s="46">
        <v>3800</v>
      </c>
      <c r="H16" s="46">
        <v>3800</v>
      </c>
      <c r="I16" s="46">
        <v>3800</v>
      </c>
      <c r="J16" s="46">
        <v>3800</v>
      </c>
      <c r="K16" s="46">
        <v>3800</v>
      </c>
      <c r="L16" s="46">
        <v>3800</v>
      </c>
      <c r="M16" s="46">
        <v>3800</v>
      </c>
      <c r="N16" s="46">
        <v>3800</v>
      </c>
    </row>
    <row r="17" spans="2:15" x14ac:dyDescent="0.2">
      <c r="B17" t="s">
        <v>114</v>
      </c>
      <c r="C17" s="46"/>
      <c r="D17" s="46">
        <v>5407.1999999999971</v>
      </c>
      <c r="E17" s="46">
        <v>8935.6319999999978</v>
      </c>
      <c r="F17" s="46">
        <v>12718.609920000003</v>
      </c>
      <c r="G17" s="46">
        <v>16774.405315200012</v>
      </c>
      <c r="H17" s="46">
        <v>21122.595950112009</v>
      </c>
      <c r="I17" s="46">
        <v>25784.158865238714</v>
      </c>
      <c r="J17" s="46">
        <v>30781.570056341458</v>
      </c>
      <c r="K17" s="46">
        <v>36138.911235053529</v>
      </c>
      <c r="L17" s="46">
        <v>41881.984172761557</v>
      </c>
      <c r="M17" s="46">
        <v>48038.433165184397</v>
      </c>
      <c r="N17" s="46">
        <v>54637.876193096599</v>
      </c>
    </row>
    <row r="19" spans="2:15" ht="16" thickBot="1" x14ac:dyDescent="0.25">
      <c r="B19" s="70" t="s">
        <v>0</v>
      </c>
      <c r="C19" s="71">
        <f>SUM(C6:C17)</f>
        <v>55080</v>
      </c>
      <c r="D19" s="71">
        <f>SUM(D6:D17)</f>
        <v>61200</v>
      </c>
      <c r="E19" s="71">
        <f t="shared" ref="E19:N19" si="1">SUM(E6:E17)</f>
        <v>65484</v>
      </c>
      <c r="F19" s="71">
        <f t="shared" si="1"/>
        <v>70067.88</v>
      </c>
      <c r="G19" s="71">
        <f t="shared" si="1"/>
        <v>74972.631600000022</v>
      </c>
      <c r="H19" s="71">
        <f t="shared" si="1"/>
        <v>80220.715812000009</v>
      </c>
      <c r="I19" s="71">
        <f t="shared" si="1"/>
        <v>85836.165918840008</v>
      </c>
      <c r="J19" s="71">
        <f t="shared" si="1"/>
        <v>91844.697533158818</v>
      </c>
      <c r="K19" s="71">
        <f t="shared" si="1"/>
        <v>98273.826360479929</v>
      </c>
      <c r="L19" s="71">
        <f t="shared" si="1"/>
        <v>105152.99420571355</v>
      </c>
      <c r="M19" s="71">
        <f t="shared" si="1"/>
        <v>112513.70380011351</v>
      </c>
      <c r="N19" s="71">
        <f t="shared" si="1"/>
        <v>120389.66306612146</v>
      </c>
    </row>
    <row r="20" spans="2:15" ht="16" thickTop="1" x14ac:dyDescent="0.2"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</row>
    <row r="22" spans="2:15" x14ac:dyDescent="0.2"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  <row r="26" spans="2:15" x14ac:dyDescent="0.2"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6"/>
  <sheetViews>
    <sheetView zoomScale="172"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B21" sqref="B21"/>
    </sheetView>
  </sheetViews>
  <sheetFormatPr baseColWidth="10" defaultColWidth="8.83203125" defaultRowHeight="15" x14ac:dyDescent="0.2"/>
  <cols>
    <col min="1" max="1" width="33.33203125" customWidth="1"/>
    <col min="2" max="3" width="10" customWidth="1"/>
    <col min="4" max="4" width="11.1640625" bestFit="1" customWidth="1"/>
    <col min="6" max="6" width="43.83203125" customWidth="1"/>
    <col min="7" max="7" width="8.83203125" customWidth="1"/>
  </cols>
  <sheetData>
    <row r="2" spans="1:6" x14ac:dyDescent="0.2">
      <c r="A2" s="37" t="s">
        <v>95</v>
      </c>
      <c r="B2" s="37"/>
      <c r="C2" s="37"/>
    </row>
    <row r="3" spans="1:6" ht="18" x14ac:dyDescent="0.2">
      <c r="A3" s="35" t="s">
        <v>55</v>
      </c>
      <c r="B3" s="34"/>
    </row>
    <row r="4" spans="1:6" ht="18" x14ac:dyDescent="0.2">
      <c r="A4" s="35" t="s">
        <v>56</v>
      </c>
      <c r="B4" s="34"/>
    </row>
    <row r="5" spans="1:6" x14ac:dyDescent="0.2">
      <c r="A5" s="36" t="s">
        <v>79</v>
      </c>
      <c r="B5" s="34"/>
    </row>
    <row r="6" spans="1:6" x14ac:dyDescent="0.2">
      <c r="F6" s="20" t="s">
        <v>77</v>
      </c>
    </row>
    <row r="7" spans="1:6" ht="16" x14ac:dyDescent="0.2">
      <c r="A7" s="14" t="s">
        <v>78</v>
      </c>
      <c r="B7" s="15" t="s">
        <v>80</v>
      </c>
      <c r="C7" s="15" t="s">
        <v>81</v>
      </c>
      <c r="D7" s="13" t="s">
        <v>93</v>
      </c>
      <c r="E7" s="13" t="s">
        <v>92</v>
      </c>
      <c r="F7" s="15" t="s">
        <v>63</v>
      </c>
    </row>
    <row r="8" spans="1:6" ht="16" x14ac:dyDescent="0.2">
      <c r="A8" s="23" t="s">
        <v>62</v>
      </c>
      <c r="B8" s="24" t="e">
        <f>Headcount!#REF!</f>
        <v>#REF!</v>
      </c>
      <c r="C8" s="24">
        <v>34</v>
      </c>
      <c r="D8" s="29" t="e">
        <f>B8-C8</f>
        <v>#REF!</v>
      </c>
      <c r="E8" s="31" t="e">
        <f>D8/C8</f>
        <v>#REF!</v>
      </c>
      <c r="F8" t="s">
        <v>86</v>
      </c>
    </row>
    <row r="9" spans="1:6" x14ac:dyDescent="0.2">
      <c r="A9" s="1"/>
      <c r="B9" s="7"/>
      <c r="C9" s="7"/>
      <c r="D9" s="7"/>
      <c r="E9" s="7"/>
    </row>
    <row r="10" spans="1:6" x14ac:dyDescent="0.2">
      <c r="A10" s="2" t="s">
        <v>1</v>
      </c>
      <c r="B10" s="3"/>
      <c r="C10" s="3"/>
    </row>
    <row r="11" spans="1:6" x14ac:dyDescent="0.2">
      <c r="A11" s="2" t="s">
        <v>2</v>
      </c>
      <c r="B11" s="4">
        <f>122200</f>
        <v>122200</v>
      </c>
      <c r="C11" s="4">
        <v>136620</v>
      </c>
      <c r="D11" s="22">
        <f>B11-C11</f>
        <v>-14420</v>
      </c>
      <c r="E11" s="8">
        <f>D11/B11</f>
        <v>-0.11800327332242226</v>
      </c>
      <c r="F11" t="s">
        <v>84</v>
      </c>
    </row>
    <row r="12" spans="1:6" x14ac:dyDescent="0.2">
      <c r="A12" s="2" t="s">
        <v>3</v>
      </c>
      <c r="B12" s="4">
        <f>94800</f>
        <v>94800</v>
      </c>
      <c r="C12" s="4">
        <v>91080</v>
      </c>
      <c r="D12" s="22">
        <f t="shared" ref="D12:D13" si="0">B12-C12</f>
        <v>3720</v>
      </c>
      <c r="E12" s="8">
        <f t="shared" ref="E12:E13" si="1">D12/B12</f>
        <v>3.9240506329113925E-2</v>
      </c>
    </row>
    <row r="13" spans="1:6" x14ac:dyDescent="0.2">
      <c r="A13" s="2" t="s">
        <v>4</v>
      </c>
      <c r="B13" s="5">
        <f>(B11)+(B12)</f>
        <v>217000</v>
      </c>
      <c r="C13" s="5">
        <v>227700</v>
      </c>
      <c r="D13" s="28">
        <f t="shared" si="0"/>
        <v>-10700</v>
      </c>
      <c r="E13" s="8">
        <f t="shared" si="1"/>
        <v>-4.9308755760368667E-2</v>
      </c>
    </row>
    <row r="14" spans="1:6" x14ac:dyDescent="0.2">
      <c r="A14" s="2" t="s">
        <v>5</v>
      </c>
      <c r="B14" s="3"/>
      <c r="C14" s="3"/>
    </row>
    <row r="15" spans="1:6" x14ac:dyDescent="0.2">
      <c r="A15" s="2" t="s">
        <v>6</v>
      </c>
      <c r="B15" s="3"/>
      <c r="C15" s="3"/>
    </row>
    <row r="16" spans="1:6" x14ac:dyDescent="0.2">
      <c r="A16" s="2" t="s">
        <v>7</v>
      </c>
      <c r="B16" s="4">
        <f>38150</f>
        <v>38150</v>
      </c>
      <c r="C16" s="4">
        <v>40000</v>
      </c>
      <c r="D16" s="22">
        <f t="shared" ref="D16:D22" si="2">B16-C16</f>
        <v>-1850</v>
      </c>
      <c r="E16" s="8">
        <f>D16/B16</f>
        <v>-4.8492791612057669E-2</v>
      </c>
      <c r="F16" t="s">
        <v>85</v>
      </c>
    </row>
    <row r="17" spans="1:6" x14ac:dyDescent="0.2">
      <c r="A17" s="2" t="s">
        <v>8</v>
      </c>
      <c r="B17" s="4">
        <f>93000</f>
        <v>93000</v>
      </c>
      <c r="C17" s="4">
        <v>81840</v>
      </c>
      <c r="D17" s="22">
        <f t="shared" si="2"/>
        <v>11160</v>
      </c>
      <c r="E17" s="8">
        <f t="shared" ref="E17:E22" si="3">D17/B17</f>
        <v>0.12</v>
      </c>
      <c r="F17" t="s">
        <v>94</v>
      </c>
    </row>
    <row r="18" spans="1:6" x14ac:dyDescent="0.2">
      <c r="A18" s="2" t="s">
        <v>9</v>
      </c>
      <c r="B18" s="4">
        <f>11484.42</f>
        <v>11484.42</v>
      </c>
      <c r="C18" s="4">
        <v>10106.2896</v>
      </c>
      <c r="D18" s="22">
        <f t="shared" si="2"/>
        <v>1378.1304</v>
      </c>
      <c r="E18" s="8">
        <f t="shared" si="3"/>
        <v>0.12</v>
      </c>
      <c r="F18" t="s">
        <v>94</v>
      </c>
    </row>
    <row r="19" spans="1:6" x14ac:dyDescent="0.2">
      <c r="A19" s="2" t="s">
        <v>10</v>
      </c>
      <c r="B19" s="4">
        <f>1395</f>
        <v>1395</v>
      </c>
      <c r="C19" s="4">
        <v>1227.5999999999999</v>
      </c>
      <c r="D19" s="22">
        <f t="shared" si="2"/>
        <v>167.40000000000009</v>
      </c>
      <c r="E19" s="8">
        <f t="shared" si="3"/>
        <v>0.12000000000000006</v>
      </c>
      <c r="F19" t="s">
        <v>94</v>
      </c>
    </row>
    <row r="20" spans="1:6" x14ac:dyDescent="0.2">
      <c r="A20" s="2" t="s">
        <v>11</v>
      </c>
      <c r="B20" s="4">
        <f>7114.5</f>
        <v>7114.5</v>
      </c>
      <c r="C20" s="4">
        <v>6260.76</v>
      </c>
      <c r="D20" s="22">
        <f t="shared" si="2"/>
        <v>853.73999999999978</v>
      </c>
      <c r="E20" s="8">
        <f t="shared" si="3"/>
        <v>0.11999999999999997</v>
      </c>
      <c r="F20" t="s">
        <v>94</v>
      </c>
    </row>
    <row r="21" spans="1:6" x14ac:dyDescent="0.2">
      <c r="A21" s="2" t="s">
        <v>12</v>
      </c>
      <c r="B21" s="4">
        <f>189.06</f>
        <v>189.06</v>
      </c>
      <c r="C21" s="4">
        <v>166.37280000000001</v>
      </c>
      <c r="D21" s="22">
        <f t="shared" si="2"/>
        <v>22.68719999999999</v>
      </c>
      <c r="E21" s="8">
        <f t="shared" si="3"/>
        <v>0.11999999999999994</v>
      </c>
      <c r="F21" t="s">
        <v>94</v>
      </c>
    </row>
    <row r="22" spans="1:6" x14ac:dyDescent="0.2">
      <c r="A22" s="2" t="s">
        <v>13</v>
      </c>
      <c r="B22" s="4">
        <f>894.23</f>
        <v>894.23</v>
      </c>
      <c r="C22" s="4">
        <v>786.92240000000004</v>
      </c>
      <c r="D22" s="22">
        <f t="shared" si="2"/>
        <v>107.30759999999998</v>
      </c>
      <c r="E22" s="8">
        <f t="shared" si="3"/>
        <v>0.11999999999999997</v>
      </c>
      <c r="F22" t="s">
        <v>94</v>
      </c>
    </row>
    <row r="23" spans="1:6" x14ac:dyDescent="0.2">
      <c r="A23" s="2" t="s">
        <v>14</v>
      </c>
      <c r="B23" s="5">
        <f>(((((((B15)+(B16))+(B17))+(B18))+(B19))+(B20))+(B21))+(B22)</f>
        <v>152227.21000000002</v>
      </c>
      <c r="C23" s="5">
        <v>140387.94480000003</v>
      </c>
      <c r="D23" s="5">
        <f t="shared" ref="D23" si="4">(((((((D15)+(D16))+(D17))+(D18))+(D19))+(D20))+(D21))+(D22)</f>
        <v>11839.2652</v>
      </c>
    </row>
    <row r="24" spans="1:6" x14ac:dyDescent="0.2">
      <c r="A24" s="2" t="s">
        <v>15</v>
      </c>
      <c r="B24" s="5">
        <f>B23</f>
        <v>152227.21000000002</v>
      </c>
      <c r="C24" s="5">
        <v>140387.94480000003</v>
      </c>
      <c r="D24" s="5">
        <f t="shared" ref="D24" si="5">D23</f>
        <v>11839.2652</v>
      </c>
    </row>
    <row r="25" spans="1:6" x14ac:dyDescent="0.2">
      <c r="A25" s="2" t="s">
        <v>16</v>
      </c>
      <c r="B25" s="5">
        <f>(B13)-(B24)</f>
        <v>64772.789999999979</v>
      </c>
      <c r="C25" s="5">
        <v>87312.055199999973</v>
      </c>
      <c r="D25" s="5">
        <f t="shared" ref="D25" si="6">(D13)-(D24)</f>
        <v>-22539.265200000002</v>
      </c>
    </row>
    <row r="26" spans="1:6" x14ac:dyDescent="0.2">
      <c r="A26" s="2" t="s">
        <v>17</v>
      </c>
      <c r="B26" s="3"/>
      <c r="C26" s="3"/>
    </row>
    <row r="27" spans="1:6" x14ac:dyDescent="0.2">
      <c r="A27" s="2" t="s">
        <v>18</v>
      </c>
      <c r="B27" s="3"/>
      <c r="C27" s="3"/>
    </row>
    <row r="28" spans="1:6" x14ac:dyDescent="0.2">
      <c r="A28" s="2" t="s">
        <v>19</v>
      </c>
      <c r="B28" s="4">
        <f>410400</f>
        <v>410400</v>
      </c>
      <c r="C28" s="4">
        <v>361152</v>
      </c>
      <c r="D28" s="22">
        <f t="shared" ref="D28:D37" si="7">B28-C28</f>
        <v>49248</v>
      </c>
      <c r="E28" s="8">
        <f t="shared" ref="E28:E37" si="8">D28/B28</f>
        <v>0.12</v>
      </c>
      <c r="F28" t="s">
        <v>76</v>
      </c>
    </row>
    <row r="29" spans="1:6" x14ac:dyDescent="0.2">
      <c r="A29" s="2" t="s">
        <v>20</v>
      </c>
      <c r="B29" s="4">
        <f>49765.86</f>
        <v>49765.86</v>
      </c>
      <c r="C29" s="4">
        <v>43793.9568</v>
      </c>
      <c r="D29" s="22">
        <f t="shared" si="7"/>
        <v>5971.9032000000007</v>
      </c>
      <c r="E29" s="8">
        <f t="shared" si="8"/>
        <v>0.12000000000000001</v>
      </c>
      <c r="F29" t="s">
        <v>76</v>
      </c>
    </row>
    <row r="30" spans="1:6" x14ac:dyDescent="0.2">
      <c r="A30" s="2" t="s">
        <v>21</v>
      </c>
      <c r="B30" s="4">
        <f>43880.4</f>
        <v>43880.4</v>
      </c>
      <c r="C30" s="4">
        <v>38614.752</v>
      </c>
      <c r="D30" s="22">
        <f t="shared" si="7"/>
        <v>5265.648000000001</v>
      </c>
      <c r="E30" s="8">
        <f t="shared" si="8"/>
        <v>0.12000000000000002</v>
      </c>
      <c r="F30" t="s">
        <v>76</v>
      </c>
    </row>
    <row r="31" spans="1:6" x14ac:dyDescent="0.2">
      <c r="A31" s="2" t="s">
        <v>22</v>
      </c>
      <c r="B31" s="4">
        <f>0</f>
        <v>0</v>
      </c>
      <c r="C31" s="4">
        <v>0</v>
      </c>
      <c r="D31" s="22">
        <f t="shared" si="7"/>
        <v>0</v>
      </c>
      <c r="E31" s="8">
        <v>0</v>
      </c>
    </row>
    <row r="32" spans="1:6" x14ac:dyDescent="0.2">
      <c r="A32" s="2" t="s">
        <v>23</v>
      </c>
      <c r="B32" s="4">
        <f>1889</f>
        <v>1889</v>
      </c>
      <c r="C32" s="4">
        <v>1662.32</v>
      </c>
      <c r="D32" s="22">
        <f t="shared" si="7"/>
        <v>226.68000000000006</v>
      </c>
      <c r="E32" s="8">
        <f t="shared" si="8"/>
        <v>0.12000000000000004</v>
      </c>
    </row>
    <row r="33" spans="1:6" x14ac:dyDescent="0.2">
      <c r="A33" s="2" t="s">
        <v>24</v>
      </c>
      <c r="B33" s="4">
        <f>6156</f>
        <v>6156</v>
      </c>
      <c r="C33" s="4">
        <v>5417.28</v>
      </c>
      <c r="D33" s="22">
        <f t="shared" si="7"/>
        <v>738.72000000000025</v>
      </c>
      <c r="E33" s="8">
        <f t="shared" si="8"/>
        <v>0.12000000000000004</v>
      </c>
      <c r="F33" t="s">
        <v>76</v>
      </c>
    </row>
    <row r="34" spans="1:6" x14ac:dyDescent="0.2">
      <c r="A34" s="2" t="s">
        <v>25</v>
      </c>
      <c r="B34" s="4">
        <f>819.3</f>
        <v>819.3</v>
      </c>
      <c r="C34" s="4">
        <v>720.98399999999992</v>
      </c>
      <c r="D34" s="22">
        <f t="shared" si="7"/>
        <v>98.316000000000031</v>
      </c>
      <c r="E34" s="8">
        <f t="shared" si="8"/>
        <v>0.12000000000000005</v>
      </c>
      <c r="F34" t="s">
        <v>76</v>
      </c>
    </row>
    <row r="35" spans="1:6" x14ac:dyDescent="0.2">
      <c r="A35" s="2" t="s">
        <v>26</v>
      </c>
      <c r="B35" s="4">
        <f>1449</f>
        <v>1449</v>
      </c>
      <c r="C35" s="4">
        <v>1275.1200000000001</v>
      </c>
      <c r="D35" s="22">
        <f t="shared" si="7"/>
        <v>173.87999999999988</v>
      </c>
      <c r="E35" s="8">
        <f t="shared" si="8"/>
        <v>0.11999999999999991</v>
      </c>
    </row>
    <row r="36" spans="1:6" x14ac:dyDescent="0.2">
      <c r="A36" s="2" t="s">
        <v>27</v>
      </c>
      <c r="B36" s="4">
        <f>3946.16</f>
        <v>3946.16</v>
      </c>
      <c r="C36" s="4">
        <v>3472.6207999999997</v>
      </c>
      <c r="D36" s="22">
        <f t="shared" si="7"/>
        <v>473.53920000000016</v>
      </c>
      <c r="E36" s="8">
        <f t="shared" si="8"/>
        <v>0.12000000000000005</v>
      </c>
      <c r="F36" t="s">
        <v>76</v>
      </c>
    </row>
    <row r="37" spans="1:6" x14ac:dyDescent="0.2">
      <c r="A37" s="2" t="s">
        <v>28</v>
      </c>
      <c r="B37" s="4">
        <f>20000</f>
        <v>20000</v>
      </c>
      <c r="C37" s="4">
        <v>0</v>
      </c>
      <c r="D37" s="22">
        <f t="shared" si="7"/>
        <v>20000</v>
      </c>
      <c r="E37" s="8">
        <f t="shared" si="8"/>
        <v>1</v>
      </c>
      <c r="F37" t="s">
        <v>88</v>
      </c>
    </row>
    <row r="38" spans="1:6" x14ac:dyDescent="0.2">
      <c r="A38" s="2" t="s">
        <v>29</v>
      </c>
      <c r="B38" s="5">
        <f>((((((((((B27)+(B28))+(B29))+(B30))+(B31))+(B32))+(B33))+(B34))+(B35))+(B36))+(B37)</f>
        <v>538305.72</v>
      </c>
      <c r="C38" s="5">
        <v>456109.03359999997</v>
      </c>
    </row>
    <row r="39" spans="1:6" x14ac:dyDescent="0.2">
      <c r="A39" s="2" t="s">
        <v>30</v>
      </c>
      <c r="B39" s="3"/>
      <c r="C39" s="3"/>
    </row>
    <row r="40" spans="1:6" x14ac:dyDescent="0.2">
      <c r="A40" s="2" t="s">
        <v>31</v>
      </c>
      <c r="B40" s="4">
        <f>1200</f>
        <v>1200</v>
      </c>
      <c r="C40" s="4">
        <v>1140</v>
      </c>
      <c r="D40" s="22">
        <f t="shared" ref="D40:D41" si="9">B40-C40</f>
        <v>60</v>
      </c>
      <c r="E40" s="8">
        <f t="shared" ref="E40:E41" si="10">D40/B40</f>
        <v>0.05</v>
      </c>
    </row>
    <row r="41" spans="1:6" x14ac:dyDescent="0.2">
      <c r="A41" s="2" t="s">
        <v>32</v>
      </c>
      <c r="B41" s="4">
        <f>7800</f>
        <v>7800</v>
      </c>
      <c r="C41" s="4">
        <v>7410</v>
      </c>
      <c r="D41" s="22">
        <f t="shared" si="9"/>
        <v>390</v>
      </c>
      <c r="E41" s="8">
        <f t="shared" si="10"/>
        <v>0.05</v>
      </c>
    </row>
    <row r="42" spans="1:6" x14ac:dyDescent="0.2">
      <c r="A42" s="2" t="s">
        <v>33</v>
      </c>
      <c r="B42" s="5">
        <f>((B39)+(B40))+(B41)</f>
        <v>9000</v>
      </c>
      <c r="C42" s="5">
        <v>8550</v>
      </c>
    </row>
    <row r="43" spans="1:6" x14ac:dyDescent="0.2">
      <c r="A43" s="2" t="s">
        <v>34</v>
      </c>
      <c r="B43" s="3"/>
      <c r="C43" s="3"/>
    </row>
    <row r="44" spans="1:6" x14ac:dyDescent="0.2">
      <c r="A44" s="2" t="s">
        <v>35</v>
      </c>
      <c r="B44" s="4">
        <f>18000</f>
        <v>18000</v>
      </c>
      <c r="C44" s="4">
        <v>17100</v>
      </c>
      <c r="D44" s="22">
        <f t="shared" ref="D44:D45" si="11">B44-C44</f>
        <v>900</v>
      </c>
      <c r="E44" s="8">
        <f t="shared" ref="E44:E45" si="12">D44/B44</f>
        <v>0.05</v>
      </c>
    </row>
    <row r="45" spans="1:6" x14ac:dyDescent="0.2">
      <c r="A45" s="2" t="s">
        <v>36</v>
      </c>
      <c r="B45" s="4">
        <f>1080</f>
        <v>1080</v>
      </c>
      <c r="C45" s="4">
        <v>1026</v>
      </c>
      <c r="D45" s="22">
        <f t="shared" si="11"/>
        <v>54</v>
      </c>
      <c r="E45" s="8">
        <f t="shared" si="12"/>
        <v>0.05</v>
      </c>
    </row>
    <row r="46" spans="1:6" x14ac:dyDescent="0.2">
      <c r="A46" s="2" t="s">
        <v>37</v>
      </c>
      <c r="B46" s="5">
        <f>((B43)+(B44))+(B45)</f>
        <v>19080</v>
      </c>
      <c r="C46" s="5">
        <v>18126</v>
      </c>
    </row>
    <row r="47" spans="1:6" x14ac:dyDescent="0.2">
      <c r="A47" s="2" t="s">
        <v>38</v>
      </c>
      <c r="B47" s="3"/>
      <c r="C47" s="3"/>
    </row>
    <row r="48" spans="1:6" x14ac:dyDescent="0.2">
      <c r="A48" s="2" t="s">
        <v>39</v>
      </c>
      <c r="B48" s="4">
        <f>6000</f>
        <v>6000</v>
      </c>
      <c r="C48" s="4">
        <v>6000</v>
      </c>
      <c r="D48" s="22">
        <f t="shared" ref="D48" si="13">B48-C48</f>
        <v>0</v>
      </c>
      <c r="E48" s="8">
        <f t="shared" ref="E48" si="14">D48/B48</f>
        <v>0</v>
      </c>
    </row>
    <row r="49" spans="1:6" x14ac:dyDescent="0.2">
      <c r="A49" s="2" t="s">
        <v>40</v>
      </c>
      <c r="B49" s="5">
        <f>(B47)+(B48)</f>
        <v>6000</v>
      </c>
      <c r="C49" s="5">
        <v>6000</v>
      </c>
    </row>
    <row r="50" spans="1:6" x14ac:dyDescent="0.2">
      <c r="A50" s="2" t="s">
        <v>41</v>
      </c>
      <c r="B50" s="3"/>
      <c r="C50" s="3"/>
    </row>
    <row r="51" spans="1:6" x14ac:dyDescent="0.2">
      <c r="A51" s="2" t="s">
        <v>42</v>
      </c>
      <c r="B51" s="4">
        <f>10000</f>
        <v>10000</v>
      </c>
      <c r="C51" s="4">
        <v>10000</v>
      </c>
      <c r="D51" s="22">
        <f t="shared" ref="D51" si="15">B51-C51</f>
        <v>0</v>
      </c>
      <c r="E51" s="8">
        <f t="shared" ref="E51" si="16">D51/B51</f>
        <v>0</v>
      </c>
    </row>
    <row r="52" spans="1:6" x14ac:dyDescent="0.2">
      <c r="A52" s="2" t="s">
        <v>43</v>
      </c>
      <c r="B52" s="3"/>
      <c r="C52" s="3">
        <v>5000</v>
      </c>
      <c r="D52" s="22">
        <f t="shared" ref="D52" si="17">B52-C52</f>
        <v>-5000</v>
      </c>
      <c r="E52" s="8">
        <v>1</v>
      </c>
      <c r="F52" t="s">
        <v>89</v>
      </c>
    </row>
    <row r="53" spans="1:6" x14ac:dyDescent="0.2">
      <c r="A53" s="2" t="s">
        <v>44</v>
      </c>
      <c r="B53" s="5">
        <f>((B50)+(B51))+(B52)</f>
        <v>10000</v>
      </c>
      <c r="C53" s="5">
        <v>15000</v>
      </c>
    </row>
    <row r="54" spans="1:6" x14ac:dyDescent="0.2">
      <c r="A54" s="2" t="s">
        <v>45</v>
      </c>
      <c r="B54" s="3"/>
      <c r="C54" s="3"/>
    </row>
    <row r="55" spans="1:6" x14ac:dyDescent="0.2">
      <c r="A55" s="2" t="s">
        <v>46</v>
      </c>
      <c r="B55" s="4">
        <f>45833</f>
        <v>45833</v>
      </c>
      <c r="C55" s="4">
        <v>50000</v>
      </c>
      <c r="D55" s="22">
        <f t="shared" ref="D55:D58" si="18">B55-C55</f>
        <v>-4167</v>
      </c>
      <c r="E55" s="8">
        <f t="shared" ref="E55:E58" si="19">D55/B55</f>
        <v>-9.0917024851089823E-2</v>
      </c>
      <c r="F55" t="s">
        <v>90</v>
      </c>
    </row>
    <row r="56" spans="1:6" x14ac:dyDescent="0.2">
      <c r="A56" s="2" t="s">
        <v>47</v>
      </c>
      <c r="B56" s="4">
        <f>1800</f>
        <v>1800</v>
      </c>
      <c r="C56" s="4">
        <v>1800</v>
      </c>
      <c r="D56" s="22">
        <f t="shared" si="18"/>
        <v>0</v>
      </c>
      <c r="E56" s="8">
        <f t="shared" si="19"/>
        <v>0</v>
      </c>
    </row>
    <row r="57" spans="1:6" x14ac:dyDescent="0.2">
      <c r="A57" s="2" t="s">
        <v>48</v>
      </c>
      <c r="B57" s="4">
        <f>167</f>
        <v>167</v>
      </c>
      <c r="C57" s="4">
        <v>167</v>
      </c>
      <c r="D57" s="22">
        <f t="shared" si="18"/>
        <v>0</v>
      </c>
      <c r="E57" s="8">
        <f t="shared" si="19"/>
        <v>0</v>
      </c>
    </row>
    <row r="58" spans="1:6" x14ac:dyDescent="0.2">
      <c r="A58" s="2" t="s">
        <v>49</v>
      </c>
      <c r="B58" s="4">
        <f>5591.02</f>
        <v>5591.02</v>
      </c>
      <c r="C58" s="4">
        <v>2000</v>
      </c>
      <c r="D58" s="22">
        <f t="shared" si="18"/>
        <v>3591.0200000000004</v>
      </c>
      <c r="E58" s="8">
        <f t="shared" si="19"/>
        <v>0.64228351892856761</v>
      </c>
      <c r="F58" t="s">
        <v>91</v>
      </c>
    </row>
    <row r="59" spans="1:6" x14ac:dyDescent="0.2">
      <c r="A59" s="2" t="s">
        <v>50</v>
      </c>
      <c r="B59" s="5">
        <f>((((B54)+(B55))+(B56))+(B57))+(B58)</f>
        <v>53391.020000000004</v>
      </c>
      <c r="C59" s="21"/>
      <c r="E59" s="8"/>
    </row>
    <row r="60" spans="1:6" x14ac:dyDescent="0.2">
      <c r="A60" s="2" t="s">
        <v>51</v>
      </c>
      <c r="B60" s="5">
        <f>(((((B38)+(B42))+(B46))+(B49))+(B53))+(B59)</f>
        <v>635776.74</v>
      </c>
      <c r="C60" s="21"/>
    </row>
    <row r="61" spans="1:6" x14ac:dyDescent="0.2">
      <c r="A61" s="2" t="s">
        <v>52</v>
      </c>
      <c r="B61" s="5">
        <f>(B25)-(B60)</f>
        <v>-571003.94999999995</v>
      </c>
      <c r="C61" s="21"/>
    </row>
    <row r="62" spans="1:6" x14ac:dyDescent="0.2">
      <c r="A62" s="2" t="s">
        <v>53</v>
      </c>
      <c r="B62" s="6">
        <f>(B61)+(0)</f>
        <v>-571003.94999999995</v>
      </c>
      <c r="C62" s="21"/>
    </row>
    <row r="63" spans="1:6" x14ac:dyDescent="0.2">
      <c r="A63" s="2"/>
      <c r="B63" s="3"/>
      <c r="C63" s="3"/>
    </row>
    <row r="66" spans="1:2" x14ac:dyDescent="0.2">
      <c r="A66" s="33" t="s">
        <v>54</v>
      </c>
      <c r="B66" s="34"/>
    </row>
  </sheetData>
  <mergeCells count="5">
    <mergeCell ref="A66:B66"/>
    <mergeCell ref="A3:B3"/>
    <mergeCell ref="A4:B4"/>
    <mergeCell ref="A5:B5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90A6-939B-7347-924B-9B0C948240AB}">
  <dimension ref="B3:E21"/>
  <sheetViews>
    <sheetView zoomScale="175" workbookViewId="0">
      <selection activeCell="C21" sqref="C21"/>
    </sheetView>
  </sheetViews>
  <sheetFormatPr baseColWidth="10" defaultRowHeight="16" x14ac:dyDescent="0.2"/>
  <cols>
    <col min="1" max="1" width="3.6640625" style="9" customWidth="1"/>
    <col min="2" max="2" width="23" style="9" bestFit="1" customWidth="1"/>
    <col min="3" max="16384" width="10.83203125" style="9"/>
  </cols>
  <sheetData>
    <row r="3" spans="2:5" x14ac:dyDescent="0.2">
      <c r="B3" s="27" t="s">
        <v>82</v>
      </c>
      <c r="C3" s="27"/>
    </row>
    <row r="4" spans="2:5" x14ac:dyDescent="0.2">
      <c r="B4" s="10" t="s">
        <v>57</v>
      </c>
      <c r="C4" s="11">
        <v>45688</v>
      </c>
      <c r="D4" s="11">
        <f>EOMONTH(C4,1)</f>
        <v>45716</v>
      </c>
      <c r="E4" s="11">
        <f>EOMONTH(D4,1)</f>
        <v>45747</v>
      </c>
    </row>
    <row r="5" spans="2:5" x14ac:dyDescent="0.2">
      <c r="B5" s="9" t="s">
        <v>58</v>
      </c>
      <c r="C5" s="9">
        <v>25</v>
      </c>
      <c r="D5" s="9">
        <v>30</v>
      </c>
      <c r="E5" s="9">
        <v>35</v>
      </c>
    </row>
    <row r="6" spans="2:5" x14ac:dyDescent="0.2">
      <c r="B6" s="9" t="s">
        <v>59</v>
      </c>
      <c r="C6" s="9">
        <v>40</v>
      </c>
      <c r="D6" s="9">
        <v>50</v>
      </c>
      <c r="E6" s="9">
        <v>60</v>
      </c>
    </row>
    <row r="7" spans="2:5" x14ac:dyDescent="0.2">
      <c r="B7" s="9" t="s">
        <v>60</v>
      </c>
      <c r="C7" s="9">
        <v>25</v>
      </c>
      <c r="D7" s="9">
        <v>30</v>
      </c>
      <c r="E7" s="9">
        <v>35</v>
      </c>
    </row>
    <row r="8" spans="2:5" x14ac:dyDescent="0.2">
      <c r="B8" s="9" t="s">
        <v>61</v>
      </c>
      <c r="C8" s="9">
        <v>40</v>
      </c>
      <c r="D8" s="9">
        <v>50</v>
      </c>
      <c r="E8" s="9">
        <v>60</v>
      </c>
    </row>
    <row r="10" spans="2:5" ht="17" thickBot="1" x14ac:dyDescent="0.25">
      <c r="B10" s="12" t="s">
        <v>0</v>
      </c>
      <c r="C10" s="12">
        <f>SUM(C5:C9)</f>
        <v>130</v>
      </c>
      <c r="D10" s="12">
        <f t="shared" ref="D10:E10" si="0">SUM(D5:D9)</f>
        <v>160</v>
      </c>
      <c r="E10" s="12">
        <f t="shared" si="0"/>
        <v>190</v>
      </c>
    </row>
    <row r="11" spans="2:5" ht="17" thickTop="1" x14ac:dyDescent="0.2"/>
    <row r="12" spans="2:5" x14ac:dyDescent="0.2">
      <c r="B12" s="26" t="s">
        <v>83</v>
      </c>
      <c r="C12" s="26"/>
    </row>
    <row r="13" spans="2:5" x14ac:dyDescent="0.2">
      <c r="B13" s="10" t="s">
        <v>57</v>
      </c>
      <c r="C13" s="11">
        <v>45688</v>
      </c>
      <c r="D13" s="11">
        <f>EOMONTH(C13,1)</f>
        <v>45716</v>
      </c>
      <c r="E13" s="11">
        <f>EOMONTH(D13,1)</f>
        <v>45747</v>
      </c>
    </row>
    <row r="14" spans="2:5" x14ac:dyDescent="0.2">
      <c r="B14" s="9" t="s">
        <v>58</v>
      </c>
      <c r="C14" s="9">
        <v>22</v>
      </c>
      <c r="D14" s="9">
        <v>27</v>
      </c>
      <c r="E14" s="9">
        <v>30</v>
      </c>
    </row>
    <row r="15" spans="2:5" x14ac:dyDescent="0.2">
      <c r="B15" s="9" t="s">
        <v>59</v>
      </c>
      <c r="C15" s="9">
        <v>40</v>
      </c>
      <c r="D15" s="9">
        <v>50</v>
      </c>
      <c r="E15" s="9">
        <v>58</v>
      </c>
    </row>
    <row r="16" spans="2:5" x14ac:dyDescent="0.2">
      <c r="B16" s="9" t="s">
        <v>60</v>
      </c>
      <c r="C16" s="9">
        <v>23</v>
      </c>
      <c r="D16" s="9">
        <v>28</v>
      </c>
      <c r="E16" s="9">
        <v>33</v>
      </c>
    </row>
    <row r="17" spans="2:5" x14ac:dyDescent="0.2">
      <c r="B17" s="9" t="s">
        <v>61</v>
      </c>
      <c r="C17" s="9">
        <v>40</v>
      </c>
      <c r="D17" s="9">
        <v>50</v>
      </c>
      <c r="E17" s="9">
        <v>59</v>
      </c>
    </row>
    <row r="19" spans="2:5" ht="17" thickBot="1" x14ac:dyDescent="0.25">
      <c r="B19" s="12" t="s">
        <v>0</v>
      </c>
      <c r="C19" s="12">
        <f>SUM(C14:C18)</f>
        <v>125</v>
      </c>
      <c r="D19" s="12">
        <f t="shared" ref="D19:E19" si="1">SUM(D14:D18)</f>
        <v>155</v>
      </c>
      <c r="E19" s="12">
        <f t="shared" si="1"/>
        <v>180</v>
      </c>
    </row>
    <row r="20" spans="2:5" ht="17" thickTop="1" x14ac:dyDescent="0.2"/>
    <row r="21" spans="2:5" x14ac:dyDescent="0.2">
      <c r="B21" s="25" t="s">
        <v>87</v>
      </c>
      <c r="C21" s="30">
        <f>(C10-C19)/C19</f>
        <v>0.04</v>
      </c>
      <c r="D21" s="30">
        <f t="shared" ref="D21:E21" si="2">(D10-D19)/D19</f>
        <v>3.2258064516129031E-2</v>
      </c>
      <c r="E21" s="30">
        <f t="shared" si="2"/>
        <v>5.5555555555555552E-2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3274-B120-374B-B5EB-31757F7578A8}">
  <dimension ref="A1:Q20"/>
  <sheetViews>
    <sheetView zoomScale="158" workbookViewId="0">
      <selection activeCell="H19" sqref="H19"/>
    </sheetView>
  </sheetViews>
  <sheetFormatPr baseColWidth="10" defaultColWidth="8.83203125" defaultRowHeight="15" x14ac:dyDescent="0.2"/>
  <cols>
    <col min="1" max="1" width="18" customWidth="1"/>
    <col min="2" max="2" width="12.33203125" customWidth="1"/>
    <col min="3" max="5" width="10.33203125" customWidth="1"/>
    <col min="7" max="7" width="20.1640625" customWidth="1"/>
    <col min="8" max="8" width="14" customWidth="1"/>
    <col min="9" max="9" width="12.6640625" customWidth="1"/>
    <col min="10" max="10" width="14.33203125" customWidth="1"/>
    <col min="11" max="11" width="13.33203125" customWidth="1"/>
    <col min="12" max="12" width="12.6640625" bestFit="1" customWidth="1"/>
    <col min="13" max="13" width="33.1640625" customWidth="1"/>
    <col min="14" max="16" width="13.6640625" bestFit="1" customWidth="1"/>
    <col min="17" max="17" width="12.6640625" bestFit="1" customWidth="1"/>
  </cols>
  <sheetData>
    <row r="1" spans="1:17" ht="18" x14ac:dyDescent="0.2">
      <c r="A1" s="38" t="s">
        <v>80</v>
      </c>
      <c r="B1" s="39"/>
      <c r="C1" s="39"/>
      <c r="D1" s="39"/>
      <c r="E1" s="39"/>
      <c r="G1" s="41" t="s">
        <v>81</v>
      </c>
      <c r="H1" s="42"/>
      <c r="I1" s="42"/>
      <c r="J1" s="42"/>
      <c r="K1" s="42"/>
    </row>
    <row r="2" spans="1:17" ht="18" x14ac:dyDescent="0.2">
      <c r="A2" s="40" t="s">
        <v>64</v>
      </c>
      <c r="B2" s="34"/>
      <c r="C2" s="34"/>
      <c r="D2" s="34"/>
      <c r="E2" s="34"/>
      <c r="G2" s="40" t="s">
        <v>64</v>
      </c>
      <c r="H2" s="34"/>
      <c r="I2" s="34"/>
      <c r="J2" s="34"/>
      <c r="K2" s="34"/>
    </row>
    <row r="3" spans="1:17" x14ac:dyDescent="0.2">
      <c r="A3" s="36" t="s">
        <v>101</v>
      </c>
      <c r="B3" s="34"/>
      <c r="C3" s="34"/>
      <c r="D3" s="34"/>
      <c r="E3" s="34"/>
      <c r="G3" s="36" t="s">
        <v>101</v>
      </c>
      <c r="H3" s="34"/>
      <c r="I3" s="34"/>
      <c r="J3" s="34"/>
      <c r="K3" s="34"/>
    </row>
    <row r="4" spans="1:17" x14ac:dyDescent="0.2">
      <c r="E4" s="63" t="s">
        <v>80</v>
      </c>
      <c r="K4" s="43" t="s">
        <v>81</v>
      </c>
    </row>
    <row r="5" spans="1:17" x14ac:dyDescent="0.2">
      <c r="A5" s="1"/>
      <c r="B5" s="44">
        <v>45688</v>
      </c>
      <c r="C5" s="44">
        <f>EOMONTH(B5,1)</f>
        <v>45716</v>
      </c>
      <c r="D5" s="44">
        <f t="shared" ref="D5" si="0">EOMONTH(C5,1)</f>
        <v>45747</v>
      </c>
      <c r="E5" s="53" t="s">
        <v>96</v>
      </c>
      <c r="G5" s="1"/>
      <c r="H5" s="44">
        <v>45688</v>
      </c>
      <c r="I5" s="44">
        <f>EOMONTH(H5,1)</f>
        <v>45716</v>
      </c>
      <c r="J5" s="44">
        <f t="shared" ref="J5" si="1">EOMONTH(I5,1)</f>
        <v>45747</v>
      </c>
      <c r="K5" s="44" t="s">
        <v>96</v>
      </c>
    </row>
    <row r="6" spans="1:17" x14ac:dyDescent="0.2">
      <c r="A6" s="16" t="s">
        <v>65</v>
      </c>
      <c r="B6" s="17">
        <v>66720</v>
      </c>
      <c r="C6" s="17">
        <v>77472</v>
      </c>
      <c r="D6" s="17">
        <v>93600</v>
      </c>
      <c r="E6" s="17">
        <f t="shared" ref="E6:E16" si="2">((B6)+(C6))+(D6)</f>
        <v>237792</v>
      </c>
      <c r="G6" s="16" t="s">
        <v>65</v>
      </c>
      <c r="H6" s="17">
        <v>64051.199999999997</v>
      </c>
      <c r="I6" s="17">
        <v>74373.119999999995</v>
      </c>
      <c r="J6" s="17">
        <v>89856</v>
      </c>
      <c r="K6" s="17">
        <f t="shared" ref="K6:K16" si="3">((H6)+(I6))+(J6)</f>
        <v>228280.32000000001</v>
      </c>
      <c r="M6" s="16"/>
      <c r="N6" s="66"/>
      <c r="O6" s="66"/>
      <c r="P6" s="66"/>
      <c r="Q6" s="66"/>
    </row>
    <row r="7" spans="1:17" x14ac:dyDescent="0.2">
      <c r="A7" s="16" t="s">
        <v>66</v>
      </c>
      <c r="B7" s="17">
        <v>182400</v>
      </c>
      <c r="C7" s="17">
        <v>198000</v>
      </c>
      <c r="D7" s="17">
        <v>250000</v>
      </c>
      <c r="E7" s="17">
        <f t="shared" si="2"/>
        <v>630400</v>
      </c>
      <c r="G7" s="16" t="s">
        <v>66</v>
      </c>
      <c r="H7" s="17">
        <v>175104</v>
      </c>
      <c r="I7" s="17">
        <v>190080</v>
      </c>
      <c r="J7" s="17">
        <v>240000</v>
      </c>
      <c r="K7" s="17">
        <f t="shared" si="3"/>
        <v>605184</v>
      </c>
      <c r="M7" s="16"/>
      <c r="N7" s="66"/>
      <c r="O7" s="66"/>
      <c r="P7" s="66"/>
      <c r="Q7" s="66"/>
    </row>
    <row r="8" spans="1:17" x14ac:dyDescent="0.2">
      <c r="A8" s="16" t="s">
        <v>67</v>
      </c>
      <c r="B8" s="17">
        <v>179280</v>
      </c>
      <c r="C8" s="17">
        <v>148800</v>
      </c>
      <c r="D8" s="17">
        <v>196800</v>
      </c>
      <c r="E8" s="17">
        <f t="shared" si="2"/>
        <v>524880</v>
      </c>
      <c r="G8" s="16" t="s">
        <v>67</v>
      </c>
      <c r="H8" s="17">
        <v>172108.79999999999</v>
      </c>
      <c r="I8" s="17">
        <v>142848</v>
      </c>
      <c r="J8" s="17">
        <v>188928</v>
      </c>
      <c r="K8" s="17">
        <f t="shared" si="3"/>
        <v>503884.79999999999</v>
      </c>
      <c r="M8" s="16"/>
      <c r="N8" s="66"/>
      <c r="O8" s="66"/>
      <c r="P8" s="66"/>
      <c r="Q8" s="66"/>
    </row>
    <row r="9" spans="1:17" x14ac:dyDescent="0.2">
      <c r="A9" s="16" t="s">
        <v>68</v>
      </c>
      <c r="B9" s="17">
        <v>216000</v>
      </c>
      <c r="C9" s="17">
        <v>286800</v>
      </c>
      <c r="D9" s="17">
        <v>309600</v>
      </c>
      <c r="E9" s="17">
        <f t="shared" si="2"/>
        <v>812400</v>
      </c>
      <c r="G9" s="16" t="s">
        <v>68</v>
      </c>
      <c r="H9" s="17">
        <v>207360</v>
      </c>
      <c r="I9" s="17">
        <v>275328</v>
      </c>
      <c r="J9" s="17">
        <v>297216</v>
      </c>
      <c r="K9" s="17">
        <f t="shared" si="3"/>
        <v>779904</v>
      </c>
      <c r="M9" s="16"/>
      <c r="N9" s="66"/>
      <c r="O9" s="66"/>
      <c r="P9" s="66"/>
      <c r="Q9" s="66"/>
    </row>
    <row r="10" spans="1:17" x14ac:dyDescent="0.2">
      <c r="A10" s="16" t="s">
        <v>69</v>
      </c>
      <c r="B10" s="17">
        <v>88236</v>
      </c>
      <c r="C10" s="17">
        <v>154800</v>
      </c>
      <c r="D10" s="17">
        <v>300000</v>
      </c>
      <c r="E10" s="17">
        <f t="shared" si="2"/>
        <v>543036</v>
      </c>
      <c r="G10" s="16" t="s">
        <v>69</v>
      </c>
      <c r="H10" s="17">
        <v>84706.559999999998</v>
      </c>
      <c r="I10" s="17">
        <v>148608</v>
      </c>
      <c r="J10" s="17">
        <v>288000</v>
      </c>
      <c r="K10" s="17">
        <f t="shared" si="3"/>
        <v>521314.56</v>
      </c>
      <c r="M10" s="16"/>
      <c r="N10" s="66"/>
      <c r="O10" s="66"/>
      <c r="P10" s="66"/>
      <c r="Q10" s="66"/>
    </row>
    <row r="11" spans="1:17" x14ac:dyDescent="0.2">
      <c r="A11" s="16" t="s">
        <v>70</v>
      </c>
      <c r="B11" s="17">
        <v>146136</v>
      </c>
      <c r="C11" s="17">
        <v>218400</v>
      </c>
      <c r="D11" s="17">
        <v>350600</v>
      </c>
      <c r="E11" s="17">
        <f t="shared" si="2"/>
        <v>715136</v>
      </c>
      <c r="G11" s="16" t="s">
        <v>70</v>
      </c>
      <c r="H11" s="17">
        <v>140290.56</v>
      </c>
      <c r="I11" s="17">
        <v>209664</v>
      </c>
      <c r="J11" s="17">
        <v>336576</v>
      </c>
      <c r="K11" s="17">
        <f t="shared" si="3"/>
        <v>686530.56000000006</v>
      </c>
      <c r="M11" s="16"/>
      <c r="N11" s="66"/>
      <c r="O11" s="66"/>
      <c r="P11" s="66"/>
      <c r="Q11" s="66"/>
    </row>
    <row r="12" spans="1:17" x14ac:dyDescent="0.2">
      <c r="A12" s="16" t="s">
        <v>71</v>
      </c>
      <c r="B12" s="17">
        <v>195228</v>
      </c>
      <c r="C12" s="17">
        <v>195328</v>
      </c>
      <c r="D12" s="17">
        <v>309600</v>
      </c>
      <c r="E12" s="17">
        <f t="shared" si="2"/>
        <v>700156</v>
      </c>
      <c r="G12" s="16" t="s">
        <v>71</v>
      </c>
      <c r="H12" s="17">
        <v>187418.88</v>
      </c>
      <c r="I12" s="17">
        <v>187514.88</v>
      </c>
      <c r="J12" s="17">
        <v>297216</v>
      </c>
      <c r="K12" s="17">
        <f t="shared" si="3"/>
        <v>672149.76</v>
      </c>
      <c r="M12" s="16"/>
      <c r="N12" s="66"/>
      <c r="O12" s="66"/>
      <c r="P12" s="66"/>
      <c r="Q12" s="66"/>
    </row>
    <row r="13" spans="1:17" x14ac:dyDescent="0.2">
      <c r="A13" s="16" t="s">
        <v>72</v>
      </c>
      <c r="B13" s="18">
        <v>200000</v>
      </c>
      <c r="C13" s="17">
        <v>211200</v>
      </c>
      <c r="D13" s="17">
        <v>220800</v>
      </c>
      <c r="E13" s="17">
        <f t="shared" si="2"/>
        <v>632000</v>
      </c>
      <c r="G13" s="16" t="s">
        <v>72</v>
      </c>
      <c r="H13" s="17">
        <v>192000</v>
      </c>
      <c r="I13" s="17">
        <v>202752</v>
      </c>
      <c r="J13" s="17">
        <v>211968</v>
      </c>
      <c r="K13" s="17">
        <f t="shared" si="3"/>
        <v>606720</v>
      </c>
      <c r="M13" s="16"/>
      <c r="N13" s="66"/>
      <c r="O13" s="66"/>
      <c r="P13" s="66"/>
      <c r="Q13" s="66"/>
    </row>
    <row r="14" spans="1:17" x14ac:dyDescent="0.2">
      <c r="A14" s="16" t="s">
        <v>73</v>
      </c>
      <c r="B14" s="18">
        <v>179000</v>
      </c>
      <c r="C14" s="17">
        <v>172800</v>
      </c>
      <c r="D14" s="17">
        <v>210000</v>
      </c>
      <c r="E14" s="17">
        <f t="shared" si="2"/>
        <v>561800</v>
      </c>
      <c r="G14" s="16" t="s">
        <v>73</v>
      </c>
      <c r="H14" s="17">
        <v>171840</v>
      </c>
      <c r="I14" s="17">
        <v>165888</v>
      </c>
      <c r="J14" s="17">
        <v>201600</v>
      </c>
      <c r="K14" s="17">
        <f t="shared" si="3"/>
        <v>539328</v>
      </c>
      <c r="M14" s="16"/>
      <c r="N14" s="66"/>
      <c r="O14" s="66"/>
      <c r="P14" s="66"/>
      <c r="Q14" s="66"/>
    </row>
    <row r="15" spans="1:17" x14ac:dyDescent="0.2">
      <c r="A15" s="16" t="s">
        <v>74</v>
      </c>
      <c r="B15" s="18">
        <v>500000</v>
      </c>
      <c r="C15" s="17">
        <v>506400</v>
      </c>
      <c r="D15" s="17">
        <v>580000</v>
      </c>
      <c r="E15" s="17">
        <f t="shared" si="2"/>
        <v>1586400</v>
      </c>
      <c r="G15" s="16" t="s">
        <v>74</v>
      </c>
      <c r="H15" s="17">
        <v>480000</v>
      </c>
      <c r="I15" s="17">
        <v>486144</v>
      </c>
      <c r="J15" s="17">
        <v>556800</v>
      </c>
      <c r="K15" s="17">
        <f t="shared" si="3"/>
        <v>1522944</v>
      </c>
      <c r="M15" s="16"/>
      <c r="N15" s="66"/>
      <c r="O15" s="66"/>
      <c r="P15" s="66"/>
      <c r="Q15" s="66"/>
    </row>
    <row r="16" spans="1:17" x14ac:dyDescent="0.2">
      <c r="A16" s="16" t="s">
        <v>75</v>
      </c>
      <c r="B16" s="19">
        <f>(((((((((B6)+(B7))+(B8))+(B9))+(B10))+(B11))+(B12))+(B13))+(B14))+(B15)</f>
        <v>1953000</v>
      </c>
      <c r="C16" s="19">
        <f>(((((((((C6)+(C7))+(C8))+(C9))+(C10))+(C11))+(C12))+(C13))+(C14))+(C15)</f>
        <v>2170000</v>
      </c>
      <c r="D16" s="19">
        <f>(((((((((D6)+(D7))+(D8))+(D9))+(D10))+(D11))+(D12))+(D13))+(D14))+(D15)</f>
        <v>2821000</v>
      </c>
      <c r="E16" s="19">
        <f t="shared" si="2"/>
        <v>6944000</v>
      </c>
      <c r="G16" s="16" t="s">
        <v>75</v>
      </c>
      <c r="H16" s="19">
        <f>(((((((((H6)+(H7))+(H8))+(H9))+(H10))+(H11))+(H12))+(H13))+(H14))+(H15)</f>
        <v>1874880</v>
      </c>
      <c r="I16" s="19">
        <f>(((((((((I6)+(I7))+(I8))+(I9))+(I10))+(I11))+(I12))+(I13))+(I14))+(I15)</f>
        <v>2083200</v>
      </c>
      <c r="J16" s="19">
        <f>(((((((((J6)+(J7))+(J8))+(J9))+(J10))+(J11))+(J12))+(J13))+(J14))+(J15)</f>
        <v>2708160</v>
      </c>
      <c r="K16" s="19">
        <f t="shared" si="3"/>
        <v>6666240</v>
      </c>
      <c r="L16" s="52"/>
      <c r="N16" s="67"/>
      <c r="O16" s="67"/>
      <c r="P16" s="67"/>
      <c r="Q16" s="19"/>
    </row>
    <row r="17" spans="1:17" x14ac:dyDescent="0.2">
      <c r="A17" s="16"/>
      <c r="B17" s="18"/>
      <c r="C17" s="18"/>
      <c r="D17" s="18"/>
      <c r="E17" s="18"/>
    </row>
    <row r="18" spans="1:17" x14ac:dyDescent="0.2">
      <c r="H18" s="45"/>
      <c r="I18" s="45"/>
      <c r="J18" s="45"/>
      <c r="K18" s="52"/>
      <c r="N18" s="46"/>
      <c r="O18" s="46"/>
      <c r="P18" s="46"/>
      <c r="Q18" s="54"/>
    </row>
    <row r="20" spans="1:17" x14ac:dyDescent="0.2">
      <c r="A20" s="69"/>
      <c r="B20" s="62"/>
      <c r="C20" s="62"/>
      <c r="D20" s="62"/>
      <c r="E20" s="62"/>
      <c r="N20" s="68"/>
      <c r="O20" s="68"/>
      <c r="P20" s="68"/>
    </row>
  </sheetData>
  <mergeCells count="6">
    <mergeCell ref="A1:E1"/>
    <mergeCell ref="A2:E2"/>
    <mergeCell ref="A3:E3"/>
    <mergeCell ref="G1:K1"/>
    <mergeCell ref="G2:K2"/>
    <mergeCell ref="G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Actual P&amp;L</vt:lpstr>
      <vt:lpstr>Answer Key</vt:lpstr>
      <vt:lpstr>Budget P&amp;L</vt:lpstr>
      <vt:lpstr>Software Budget</vt:lpstr>
      <vt:lpstr>Profit and Loss</vt:lpstr>
      <vt:lpstr>Headcount</vt:lpstr>
      <vt:lpstr>Sales by Customer Summary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Bill Hanna</cp:lastModifiedBy>
  <dcterms:created xsi:type="dcterms:W3CDTF">2022-09-30T20:19:38Z</dcterms:created>
  <dcterms:modified xsi:type="dcterms:W3CDTF">2025-07-20T15:34:15Z</dcterms:modified>
</cp:coreProperties>
</file>